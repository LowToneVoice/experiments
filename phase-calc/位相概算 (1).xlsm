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yotounivcoop-my.sharepoint.com/personal/kuc20200996_kyotounivcoop_onmicrosoft_com/Documents/大学/教科関係/理学部専門科目_物理/実習/物理科学課題研究P2/素粒子実験/COW/"/>
    </mc:Choice>
  </mc:AlternateContent>
  <xr:revisionPtr revIDLastSave="4050" documentId="8_{95770AEE-BD10-460B-85E2-B89A903AEF80}" xr6:coauthVersionLast="47" xr6:coauthVersionMax="47" xr10:uidLastSave="{6F8418C6-034E-4E3E-B021-794EFC7F8ABE}"/>
  <bookViews>
    <workbookView xWindow="-120" yWindow="-120" windowWidth="20730" windowHeight="11310" activeTab="2" xr2:uid="{CE9AF83C-42D5-ED49-AF4E-6DAAA80385C0}"/>
  </bookViews>
  <sheets>
    <sheet name="位相概算各種数値" sheetId="1" r:id="rId1"/>
    <sheet name="構造計算" sheetId="2" r:id="rId2"/>
    <sheet name="位相差計算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2" l="1"/>
  <c r="B1" i="2"/>
  <c r="K868" i="2" s="1"/>
  <c r="K51" i="2" l="1"/>
  <c r="K95" i="2"/>
  <c r="K136" i="2"/>
  <c r="K207" i="2"/>
  <c r="K303" i="2"/>
  <c r="K475" i="2"/>
  <c r="K804" i="2"/>
  <c r="K55" i="2"/>
  <c r="K139" i="2"/>
  <c r="K208" i="2"/>
  <c r="K272" i="2"/>
  <c r="K304" i="2"/>
  <c r="K476" i="2"/>
  <c r="K562" i="2"/>
  <c r="K682" i="2"/>
  <c r="K35" i="2"/>
  <c r="K79" i="2"/>
  <c r="K99" i="2"/>
  <c r="K143" i="2"/>
  <c r="K163" i="2"/>
  <c r="K184" i="2"/>
  <c r="K215" i="2"/>
  <c r="K247" i="2"/>
  <c r="K279" i="2"/>
  <c r="K311" i="2"/>
  <c r="K363" i="2"/>
  <c r="K427" i="2"/>
  <c r="K496" i="2"/>
  <c r="K580" i="2"/>
  <c r="K708" i="2"/>
  <c r="K836" i="2"/>
  <c r="K8" i="2"/>
  <c r="K159" i="2"/>
  <c r="K271" i="2"/>
  <c r="K411" i="2"/>
  <c r="K676" i="2"/>
  <c r="K32" i="2"/>
  <c r="K96" i="2"/>
  <c r="K160" i="2"/>
  <c r="K240" i="2"/>
  <c r="K412" i="2"/>
  <c r="K810" i="2"/>
  <c r="K15" i="2"/>
  <c r="K56" i="2"/>
  <c r="K120" i="2"/>
  <c r="K16" i="2"/>
  <c r="K39" i="2"/>
  <c r="K59" i="2"/>
  <c r="K80" i="2"/>
  <c r="K103" i="2"/>
  <c r="K123" i="2"/>
  <c r="K144" i="2"/>
  <c r="K167" i="2"/>
  <c r="K191" i="2"/>
  <c r="K216" i="2"/>
  <c r="K248" i="2"/>
  <c r="K280" i="2"/>
  <c r="K312" i="2"/>
  <c r="K364" i="2"/>
  <c r="K428" i="2"/>
  <c r="K498" i="2"/>
  <c r="K586" i="2"/>
  <c r="K714" i="2"/>
  <c r="K1001" i="2"/>
  <c r="K993" i="2"/>
  <c r="K985" i="2"/>
  <c r="K977" i="2"/>
  <c r="K969" i="2"/>
  <c r="K961" i="2"/>
  <c r="K953" i="2"/>
  <c r="K945" i="2"/>
  <c r="K937" i="2"/>
  <c r="K929" i="2"/>
  <c r="K921" i="2"/>
  <c r="K913" i="2"/>
  <c r="K905" i="2"/>
  <c r="K897" i="2"/>
  <c r="K889" i="2"/>
  <c r="K881" i="2"/>
  <c r="K873" i="2"/>
  <c r="K865" i="2"/>
  <c r="K857" i="2"/>
  <c r="K849" i="2"/>
  <c r="K841" i="2"/>
  <c r="K833" i="2"/>
  <c r="K825" i="2"/>
  <c r="K817" i="2"/>
  <c r="K809" i="2"/>
  <c r="K801" i="2"/>
  <c r="K793" i="2"/>
  <c r="K785" i="2"/>
  <c r="K777" i="2"/>
  <c r="K769" i="2"/>
  <c r="K761" i="2"/>
  <c r="K753" i="2"/>
  <c r="K745" i="2"/>
  <c r="K737" i="2"/>
  <c r="K729" i="2"/>
  <c r="K721" i="2"/>
  <c r="K713" i="2"/>
  <c r="K705" i="2"/>
  <c r="K697" i="2"/>
  <c r="K689" i="2"/>
  <c r="K681" i="2"/>
  <c r="K673" i="2"/>
  <c r="K665" i="2"/>
  <c r="K657" i="2"/>
  <c r="K649" i="2"/>
  <c r="K641" i="2"/>
  <c r="K633" i="2"/>
  <c r="K625" i="2"/>
  <c r="K617" i="2"/>
  <c r="K609" i="2"/>
  <c r="K601" i="2"/>
  <c r="K593" i="2"/>
  <c r="K585" i="2"/>
  <c r="K577" i="2"/>
  <c r="K569" i="2"/>
  <c r="K561" i="2"/>
  <c r="K553" i="2"/>
  <c r="K545" i="2"/>
  <c r="K537" i="2"/>
  <c r="K529" i="2"/>
  <c r="K521" i="2"/>
  <c r="K513" i="2"/>
  <c r="K505" i="2"/>
  <c r="K497" i="2"/>
  <c r="K489" i="2"/>
  <c r="K481" i="2"/>
  <c r="K473" i="2"/>
  <c r="K465" i="2"/>
  <c r="K457" i="2"/>
  <c r="K449" i="2"/>
  <c r="K441" i="2"/>
  <c r="K433" i="2"/>
  <c r="K425" i="2"/>
  <c r="K417" i="2"/>
  <c r="K409" i="2"/>
  <c r="K401" i="2"/>
  <c r="K393" i="2"/>
  <c r="K385" i="2"/>
  <c r="K377" i="2"/>
  <c r="K369" i="2"/>
  <c r="K361" i="2"/>
  <c r="K353" i="2"/>
  <c r="K345" i="2"/>
  <c r="K337" i="2"/>
  <c r="K329" i="2"/>
  <c r="K1000" i="2"/>
  <c r="K992" i="2"/>
  <c r="K984" i="2"/>
  <c r="K976" i="2"/>
  <c r="K968" i="2"/>
  <c r="K960" i="2"/>
  <c r="K952" i="2"/>
  <c r="K944" i="2"/>
  <c r="K936" i="2"/>
  <c r="K928" i="2"/>
  <c r="K920" i="2"/>
  <c r="K912" i="2"/>
  <c r="K904" i="2"/>
  <c r="K896" i="2"/>
  <c r="K888" i="2"/>
  <c r="K880" i="2"/>
  <c r="K872" i="2"/>
  <c r="K864" i="2"/>
  <c r="K856" i="2"/>
  <c r="K848" i="2"/>
  <c r="K840" i="2"/>
  <c r="K832" i="2"/>
  <c r="K824" i="2"/>
  <c r="K816" i="2"/>
  <c r="K808" i="2"/>
  <c r="K800" i="2"/>
  <c r="K792" i="2"/>
  <c r="K784" i="2"/>
  <c r="K776" i="2"/>
  <c r="K768" i="2"/>
  <c r="K760" i="2"/>
  <c r="K752" i="2"/>
  <c r="K744" i="2"/>
  <c r="K736" i="2"/>
  <c r="K728" i="2"/>
  <c r="K720" i="2"/>
  <c r="K712" i="2"/>
  <c r="K704" i="2"/>
  <c r="K696" i="2"/>
  <c r="K688" i="2"/>
  <c r="K680" i="2"/>
  <c r="K672" i="2"/>
  <c r="K664" i="2"/>
  <c r="K656" i="2"/>
  <c r="K648" i="2"/>
  <c r="K640" i="2"/>
  <c r="K632" i="2"/>
  <c r="K624" i="2"/>
  <c r="K616" i="2"/>
  <c r="K608" i="2"/>
  <c r="K600" i="2"/>
  <c r="K592" i="2"/>
  <c r="K584" i="2"/>
  <c r="K999" i="2"/>
  <c r="K991" i="2"/>
  <c r="K983" i="2"/>
  <c r="K975" i="2"/>
  <c r="K967" i="2"/>
  <c r="K959" i="2"/>
  <c r="K951" i="2"/>
  <c r="K943" i="2"/>
  <c r="K935" i="2"/>
  <c r="K927" i="2"/>
  <c r="K919" i="2"/>
  <c r="K911" i="2"/>
  <c r="K903" i="2"/>
  <c r="K895" i="2"/>
  <c r="K887" i="2"/>
  <c r="K879" i="2"/>
  <c r="K871" i="2"/>
  <c r="K863" i="2"/>
  <c r="K855" i="2"/>
  <c r="K847" i="2"/>
  <c r="K839" i="2"/>
  <c r="K831" i="2"/>
  <c r="K823" i="2"/>
  <c r="K815" i="2"/>
  <c r="K807" i="2"/>
  <c r="K799" i="2"/>
  <c r="K791" i="2"/>
  <c r="K783" i="2"/>
  <c r="K775" i="2"/>
  <c r="K767" i="2"/>
  <c r="K759" i="2"/>
  <c r="K751" i="2"/>
  <c r="K743" i="2"/>
  <c r="K735" i="2"/>
  <c r="K727" i="2"/>
  <c r="K719" i="2"/>
  <c r="K711" i="2"/>
  <c r="K703" i="2"/>
  <c r="K695" i="2"/>
  <c r="K687" i="2"/>
  <c r="K679" i="2"/>
  <c r="K671" i="2"/>
  <c r="K663" i="2"/>
  <c r="K655" i="2"/>
  <c r="K647" i="2"/>
  <c r="K639" i="2"/>
  <c r="K631" i="2"/>
  <c r="K623" i="2"/>
  <c r="K615" i="2"/>
  <c r="K607" i="2"/>
  <c r="K599" i="2"/>
  <c r="K591" i="2"/>
  <c r="K583" i="2"/>
  <c r="K575" i="2"/>
  <c r="K567" i="2"/>
  <c r="K559" i="2"/>
  <c r="K551" i="2"/>
  <c r="K543" i="2"/>
  <c r="K535" i="2"/>
  <c r="K527" i="2"/>
  <c r="K519" i="2"/>
  <c r="K511" i="2"/>
  <c r="K503" i="2"/>
  <c r="K495" i="2"/>
  <c r="K487" i="2"/>
  <c r="K479" i="2"/>
  <c r="K471" i="2"/>
  <c r="K463" i="2"/>
  <c r="K455" i="2"/>
  <c r="K447" i="2"/>
  <c r="K439" i="2"/>
  <c r="K431" i="2"/>
  <c r="K423" i="2"/>
  <c r="K415" i="2"/>
  <c r="K407" i="2"/>
  <c r="K399" i="2"/>
  <c r="K391" i="2"/>
  <c r="K383" i="2"/>
  <c r="K375" i="2"/>
  <c r="K367" i="2"/>
  <c r="K359" i="2"/>
  <c r="K351" i="2"/>
  <c r="K343" i="2"/>
  <c r="K335" i="2"/>
  <c r="K327" i="2"/>
  <c r="K998" i="2"/>
  <c r="K990" i="2"/>
  <c r="K982" i="2"/>
  <c r="K974" i="2"/>
  <c r="K966" i="2"/>
  <c r="K958" i="2"/>
  <c r="K950" i="2"/>
  <c r="K942" i="2"/>
  <c r="K934" i="2"/>
  <c r="K926" i="2"/>
  <c r="K918" i="2"/>
  <c r="K910" i="2"/>
  <c r="K902" i="2"/>
  <c r="K894" i="2"/>
  <c r="K886" i="2"/>
  <c r="K878" i="2"/>
  <c r="K870" i="2"/>
  <c r="K862" i="2"/>
  <c r="K854" i="2"/>
  <c r="K846" i="2"/>
  <c r="K838" i="2"/>
  <c r="K830" i="2"/>
  <c r="K822" i="2"/>
  <c r="K814" i="2"/>
  <c r="K806" i="2"/>
  <c r="K798" i="2"/>
  <c r="K790" i="2"/>
  <c r="K782" i="2"/>
  <c r="K774" i="2"/>
  <c r="K766" i="2"/>
  <c r="K758" i="2"/>
  <c r="K750" i="2"/>
  <c r="K742" i="2"/>
  <c r="K734" i="2"/>
  <c r="K726" i="2"/>
  <c r="K718" i="2"/>
  <c r="K710" i="2"/>
  <c r="K702" i="2"/>
  <c r="K694" i="2"/>
  <c r="K686" i="2"/>
  <c r="K678" i="2"/>
  <c r="K670" i="2"/>
  <c r="K662" i="2"/>
  <c r="K654" i="2"/>
  <c r="K646" i="2"/>
  <c r="K638" i="2"/>
  <c r="K630" i="2"/>
  <c r="K622" i="2"/>
  <c r="K614" i="2"/>
  <c r="K606" i="2"/>
  <c r="K598" i="2"/>
  <c r="K590" i="2"/>
  <c r="K582" i="2"/>
  <c r="K574" i="2"/>
  <c r="K566" i="2"/>
  <c r="K558" i="2"/>
  <c r="K550" i="2"/>
  <c r="K542" i="2"/>
  <c r="K534" i="2"/>
  <c r="K526" i="2"/>
  <c r="K518" i="2"/>
  <c r="K510" i="2"/>
  <c r="K502" i="2"/>
  <c r="K494" i="2"/>
  <c r="K486" i="2"/>
  <c r="K478" i="2"/>
  <c r="K470" i="2"/>
  <c r="K462" i="2"/>
  <c r="K454" i="2"/>
  <c r="K446" i="2"/>
  <c r="K438" i="2"/>
  <c r="K430" i="2"/>
  <c r="K422" i="2"/>
  <c r="K414" i="2"/>
  <c r="K406" i="2"/>
  <c r="K398" i="2"/>
  <c r="K390" i="2"/>
  <c r="K382" i="2"/>
  <c r="K374" i="2"/>
  <c r="K366" i="2"/>
  <c r="K358" i="2"/>
  <c r="K350" i="2"/>
  <c r="K342" i="2"/>
  <c r="K334" i="2"/>
  <c r="K326" i="2"/>
  <c r="K997" i="2"/>
  <c r="K989" i="2"/>
  <c r="K981" i="2"/>
  <c r="K973" i="2"/>
  <c r="K965" i="2"/>
  <c r="K957" i="2"/>
  <c r="K949" i="2"/>
  <c r="K941" i="2"/>
  <c r="K933" i="2"/>
  <c r="K925" i="2"/>
  <c r="K917" i="2"/>
  <c r="K909" i="2"/>
  <c r="K901" i="2"/>
  <c r="K893" i="2"/>
  <c r="K885" i="2"/>
  <c r="K877" i="2"/>
  <c r="K869" i="2"/>
  <c r="K861" i="2"/>
  <c r="K853" i="2"/>
  <c r="K845" i="2"/>
  <c r="K837" i="2"/>
  <c r="K829" i="2"/>
  <c r="K821" i="2"/>
  <c r="K813" i="2"/>
  <c r="K805" i="2"/>
  <c r="K797" i="2"/>
  <c r="K789" i="2"/>
  <c r="K781" i="2"/>
  <c r="K773" i="2"/>
  <c r="K765" i="2"/>
  <c r="K757" i="2"/>
  <c r="K749" i="2"/>
  <c r="K741" i="2"/>
  <c r="K733" i="2"/>
  <c r="K725" i="2"/>
  <c r="K717" i="2"/>
  <c r="K709" i="2"/>
  <c r="K701" i="2"/>
  <c r="K693" i="2"/>
  <c r="K685" i="2"/>
  <c r="K677" i="2"/>
  <c r="K669" i="2"/>
  <c r="K661" i="2"/>
  <c r="K653" i="2"/>
  <c r="K645" i="2"/>
  <c r="K637" i="2"/>
  <c r="K629" i="2"/>
  <c r="K621" i="2"/>
  <c r="K613" i="2"/>
  <c r="K605" i="2"/>
  <c r="K597" i="2"/>
  <c r="K589" i="2"/>
  <c r="K581" i="2"/>
  <c r="K573" i="2"/>
  <c r="K565" i="2"/>
  <c r="K557" i="2"/>
  <c r="K549" i="2"/>
  <c r="K541" i="2"/>
  <c r="K533" i="2"/>
  <c r="K525" i="2"/>
  <c r="K517" i="2"/>
  <c r="K509" i="2"/>
  <c r="K501" i="2"/>
  <c r="K493" i="2"/>
  <c r="K485" i="2"/>
  <c r="K477" i="2"/>
  <c r="K469" i="2"/>
  <c r="K461" i="2"/>
  <c r="K453" i="2"/>
  <c r="K445" i="2"/>
  <c r="K437" i="2"/>
  <c r="K429" i="2"/>
  <c r="K421" i="2"/>
  <c r="K413" i="2"/>
  <c r="K405" i="2"/>
  <c r="K397" i="2"/>
  <c r="K389" i="2"/>
  <c r="K381" i="2"/>
  <c r="K373" i="2"/>
  <c r="K365" i="2"/>
  <c r="K357" i="2"/>
  <c r="K349" i="2"/>
  <c r="K341" i="2"/>
  <c r="K333" i="2"/>
  <c r="K325" i="2"/>
  <c r="K995" i="2"/>
  <c r="K987" i="2"/>
  <c r="K979" i="2"/>
  <c r="K971" i="2"/>
  <c r="K963" i="2"/>
  <c r="K955" i="2"/>
  <c r="K947" i="2"/>
  <c r="K939" i="2"/>
  <c r="K931" i="2"/>
  <c r="K923" i="2"/>
  <c r="K915" i="2"/>
  <c r="K907" i="2"/>
  <c r="K899" i="2"/>
  <c r="K891" i="2"/>
  <c r="K883" i="2"/>
  <c r="K875" i="2"/>
  <c r="K867" i="2"/>
  <c r="K859" i="2"/>
  <c r="K851" i="2"/>
  <c r="K843" i="2"/>
  <c r="K835" i="2"/>
  <c r="K827" i="2"/>
  <c r="K819" i="2"/>
  <c r="K811" i="2"/>
  <c r="K803" i="2"/>
  <c r="K795" i="2"/>
  <c r="K787" i="2"/>
  <c r="K779" i="2"/>
  <c r="K771" i="2"/>
  <c r="K763" i="2"/>
  <c r="K755" i="2"/>
  <c r="K747" i="2"/>
  <c r="K739" i="2"/>
  <c r="K731" i="2"/>
  <c r="K723" i="2"/>
  <c r="K715" i="2"/>
  <c r="K707" i="2"/>
  <c r="K699" i="2"/>
  <c r="K691" i="2"/>
  <c r="K683" i="2"/>
  <c r="K675" i="2"/>
  <c r="K667" i="2"/>
  <c r="K659" i="2"/>
  <c r="K651" i="2"/>
  <c r="K643" i="2"/>
  <c r="K635" i="2"/>
  <c r="K627" i="2"/>
  <c r="K619" i="2"/>
  <c r="K611" i="2"/>
  <c r="K603" i="2"/>
  <c r="K595" i="2"/>
  <c r="K587" i="2"/>
  <c r="K579" i="2"/>
  <c r="K571" i="2"/>
  <c r="K563" i="2"/>
  <c r="K555" i="2"/>
  <c r="K547" i="2"/>
  <c r="K539" i="2"/>
  <c r="K531" i="2"/>
  <c r="K523" i="2"/>
  <c r="K515" i="2"/>
  <c r="K507" i="2"/>
  <c r="K499" i="2"/>
  <c r="K491" i="2"/>
  <c r="K483" i="2"/>
  <c r="K994" i="2"/>
  <c r="K996" i="2"/>
  <c r="K962" i="2"/>
  <c r="K930" i="2"/>
  <c r="K898" i="2"/>
  <c r="K866" i="2"/>
  <c r="K834" i="2"/>
  <c r="K802" i="2"/>
  <c r="K770" i="2"/>
  <c r="K738" i="2"/>
  <c r="K706" i="2"/>
  <c r="K674" i="2"/>
  <c r="K642" i="2"/>
  <c r="K610" i="2"/>
  <c r="K578" i="2"/>
  <c r="K556" i="2"/>
  <c r="K536" i="2"/>
  <c r="K514" i="2"/>
  <c r="K492" i="2"/>
  <c r="K474" i="2"/>
  <c r="K458" i="2"/>
  <c r="K442" i="2"/>
  <c r="K426" i="2"/>
  <c r="K410" i="2"/>
  <c r="K394" i="2"/>
  <c r="K378" i="2"/>
  <c r="K362" i="2"/>
  <c r="K346" i="2"/>
  <c r="K330" i="2"/>
  <c r="K318" i="2"/>
  <c r="K310" i="2"/>
  <c r="K302" i="2"/>
  <c r="K294" i="2"/>
  <c r="K286" i="2"/>
  <c r="K278" i="2"/>
  <c r="K270" i="2"/>
  <c r="K262" i="2"/>
  <c r="K254" i="2"/>
  <c r="K246" i="2"/>
  <c r="K238" i="2"/>
  <c r="K230" i="2"/>
  <c r="K222" i="2"/>
  <c r="K214" i="2"/>
  <c r="K206" i="2"/>
  <c r="K198" i="2"/>
  <c r="K190" i="2"/>
  <c r="K182" i="2"/>
  <c r="K174" i="2"/>
  <c r="K166" i="2"/>
  <c r="K158" i="2"/>
  <c r="K150" i="2"/>
  <c r="K142" i="2"/>
  <c r="K134" i="2"/>
  <c r="K126" i="2"/>
  <c r="K118" i="2"/>
  <c r="K110" i="2"/>
  <c r="K102" i="2"/>
  <c r="K94" i="2"/>
  <c r="K86" i="2"/>
  <c r="K78" i="2"/>
  <c r="K70" i="2"/>
  <c r="K62" i="2"/>
  <c r="K54" i="2"/>
  <c r="K46" i="2"/>
  <c r="K38" i="2"/>
  <c r="K30" i="2"/>
  <c r="K22" i="2"/>
  <c r="K14" i="2"/>
  <c r="K7" i="2"/>
  <c r="K124" i="2"/>
  <c r="K84" i="2"/>
  <c r="K60" i="2"/>
  <c r="K36" i="2"/>
  <c r="K12" i="2"/>
  <c r="K948" i="2"/>
  <c r="K884" i="2"/>
  <c r="K852" i="2"/>
  <c r="K820" i="2"/>
  <c r="K788" i="2"/>
  <c r="K756" i="2"/>
  <c r="K724" i="2"/>
  <c r="K692" i="2"/>
  <c r="K660" i="2"/>
  <c r="K570" i="2"/>
  <c r="K548" i="2"/>
  <c r="K506" i="2"/>
  <c r="K467" i="2"/>
  <c r="K419" i="2"/>
  <c r="K403" i="2"/>
  <c r="K355" i="2"/>
  <c r="K315" i="2"/>
  <c r="K291" i="2"/>
  <c r="K259" i="2"/>
  <c r="K235" i="2"/>
  <c r="K203" i="2"/>
  <c r="K988" i="2"/>
  <c r="K956" i="2"/>
  <c r="K924" i="2"/>
  <c r="K892" i="2"/>
  <c r="K860" i="2"/>
  <c r="K828" i="2"/>
  <c r="K796" i="2"/>
  <c r="K764" i="2"/>
  <c r="K732" i="2"/>
  <c r="K700" i="2"/>
  <c r="K668" i="2"/>
  <c r="K636" i="2"/>
  <c r="K604" i="2"/>
  <c r="K576" i="2"/>
  <c r="K554" i="2"/>
  <c r="K532" i="2"/>
  <c r="K512" i="2"/>
  <c r="K490" i="2"/>
  <c r="K472" i="2"/>
  <c r="K456" i="2"/>
  <c r="K440" i="2"/>
  <c r="K424" i="2"/>
  <c r="K408" i="2"/>
  <c r="K392" i="2"/>
  <c r="K376" i="2"/>
  <c r="K360" i="2"/>
  <c r="K344" i="2"/>
  <c r="K328" i="2"/>
  <c r="K317" i="2"/>
  <c r="K309" i="2"/>
  <c r="K301" i="2"/>
  <c r="K293" i="2"/>
  <c r="K285" i="2"/>
  <c r="K277" i="2"/>
  <c r="K269" i="2"/>
  <c r="K261" i="2"/>
  <c r="K253" i="2"/>
  <c r="K245" i="2"/>
  <c r="K237" i="2"/>
  <c r="K229" i="2"/>
  <c r="K221" i="2"/>
  <c r="K213" i="2"/>
  <c r="K205" i="2"/>
  <c r="K197" i="2"/>
  <c r="K189" i="2"/>
  <c r="K181" i="2"/>
  <c r="K173" i="2"/>
  <c r="K165" i="2"/>
  <c r="K157" i="2"/>
  <c r="K149" i="2"/>
  <c r="K141" i="2"/>
  <c r="K133" i="2"/>
  <c r="K125" i="2"/>
  <c r="K117" i="2"/>
  <c r="K109" i="2"/>
  <c r="K101" i="2"/>
  <c r="K93" i="2"/>
  <c r="K85" i="2"/>
  <c r="K77" i="2"/>
  <c r="K69" i="2"/>
  <c r="K61" i="2"/>
  <c r="K53" i="2"/>
  <c r="K45" i="2"/>
  <c r="K37" i="2"/>
  <c r="K29" i="2"/>
  <c r="K21" i="2"/>
  <c r="K13" i="2"/>
  <c r="K6" i="2"/>
  <c r="K164" i="2"/>
  <c r="K132" i="2"/>
  <c r="K108" i="2"/>
  <c r="K92" i="2"/>
  <c r="K68" i="2"/>
  <c r="K44" i="2"/>
  <c r="K20" i="2"/>
  <c r="K980" i="2"/>
  <c r="K628" i="2"/>
  <c r="K528" i="2"/>
  <c r="K451" i="2"/>
  <c r="K387" i="2"/>
  <c r="K323" i="2"/>
  <c r="K299" i="2"/>
  <c r="K275" i="2"/>
  <c r="K243" i="2"/>
  <c r="K219" i="2"/>
  <c r="K986" i="2"/>
  <c r="K954" i="2"/>
  <c r="K922" i="2"/>
  <c r="K890" i="2"/>
  <c r="K858" i="2"/>
  <c r="K826" i="2"/>
  <c r="K794" i="2"/>
  <c r="K762" i="2"/>
  <c r="K730" i="2"/>
  <c r="K698" i="2"/>
  <c r="K666" i="2"/>
  <c r="K634" i="2"/>
  <c r="K602" i="2"/>
  <c r="K572" i="2"/>
  <c r="K552" i="2"/>
  <c r="K530" i="2"/>
  <c r="K508" i="2"/>
  <c r="K488" i="2"/>
  <c r="K468" i="2"/>
  <c r="K452" i="2"/>
  <c r="K436" i="2"/>
  <c r="K420" i="2"/>
  <c r="K404" i="2"/>
  <c r="K388" i="2"/>
  <c r="K372" i="2"/>
  <c r="K356" i="2"/>
  <c r="K340" i="2"/>
  <c r="K324" i="2"/>
  <c r="K316" i="2"/>
  <c r="K308" i="2"/>
  <c r="K300" i="2"/>
  <c r="K292" i="2"/>
  <c r="K284" i="2"/>
  <c r="K276" i="2"/>
  <c r="K268" i="2"/>
  <c r="K260" i="2"/>
  <c r="K252" i="2"/>
  <c r="K244" i="2"/>
  <c r="K236" i="2"/>
  <c r="K228" i="2"/>
  <c r="K220" i="2"/>
  <c r="K212" i="2"/>
  <c r="K204" i="2"/>
  <c r="K196" i="2"/>
  <c r="K188" i="2"/>
  <c r="K180" i="2"/>
  <c r="K172" i="2"/>
  <c r="K156" i="2"/>
  <c r="K148" i="2"/>
  <c r="K140" i="2"/>
  <c r="K116" i="2"/>
  <c r="K100" i="2"/>
  <c r="K76" i="2"/>
  <c r="K52" i="2"/>
  <c r="K28" i="2"/>
  <c r="K5" i="2"/>
  <c r="K916" i="2"/>
  <c r="K596" i="2"/>
  <c r="K484" i="2"/>
  <c r="K435" i="2"/>
  <c r="K371" i="2"/>
  <c r="K339" i="2"/>
  <c r="K307" i="2"/>
  <c r="K283" i="2"/>
  <c r="K267" i="2"/>
  <c r="K251" i="2"/>
  <c r="K227" i="2"/>
  <c r="K211" i="2"/>
  <c r="K187" i="2"/>
  <c r="K978" i="2"/>
  <c r="K946" i="2"/>
  <c r="K914" i="2"/>
  <c r="K882" i="2"/>
  <c r="K850" i="2"/>
  <c r="K818" i="2"/>
  <c r="K786" i="2"/>
  <c r="K754" i="2"/>
  <c r="K722" i="2"/>
  <c r="K690" i="2"/>
  <c r="K658" i="2"/>
  <c r="K626" i="2"/>
  <c r="K594" i="2"/>
  <c r="K568" i="2"/>
  <c r="K546" i="2"/>
  <c r="K524" i="2"/>
  <c r="K504" i="2"/>
  <c r="K482" i="2"/>
  <c r="K466" i="2"/>
  <c r="K450" i="2"/>
  <c r="K434" i="2"/>
  <c r="K418" i="2"/>
  <c r="K402" i="2"/>
  <c r="K386" i="2"/>
  <c r="K370" i="2"/>
  <c r="K354" i="2"/>
  <c r="K338" i="2"/>
  <c r="K322" i="2"/>
  <c r="K314" i="2"/>
  <c r="K306" i="2"/>
  <c r="K298" i="2"/>
  <c r="K290" i="2"/>
  <c r="K282" i="2"/>
  <c r="K274" i="2"/>
  <c r="K266" i="2"/>
  <c r="K258" i="2"/>
  <c r="K250" i="2"/>
  <c r="K242" i="2"/>
  <c r="K234" i="2"/>
  <c r="K226" i="2"/>
  <c r="K218" i="2"/>
  <c r="K210" i="2"/>
  <c r="K202" i="2"/>
  <c r="K194" i="2"/>
  <c r="K186" i="2"/>
  <c r="K178" i="2"/>
  <c r="K170" i="2"/>
  <c r="K162" i="2"/>
  <c r="K154" i="2"/>
  <c r="K146" i="2"/>
  <c r="K138" i="2"/>
  <c r="K130" i="2"/>
  <c r="K122" i="2"/>
  <c r="K114" i="2"/>
  <c r="K106" i="2"/>
  <c r="K98" i="2"/>
  <c r="K90" i="2"/>
  <c r="K82" i="2"/>
  <c r="K74" i="2"/>
  <c r="K66" i="2"/>
  <c r="K58" i="2"/>
  <c r="K50" i="2"/>
  <c r="K42" i="2"/>
  <c r="K34" i="2"/>
  <c r="K26" i="2"/>
  <c r="K18" i="2"/>
  <c r="K10" i="2"/>
  <c r="K3" i="2"/>
  <c r="K161" i="2"/>
  <c r="K129" i="2"/>
  <c r="K113" i="2"/>
  <c r="K97" i="2"/>
  <c r="K81" i="2"/>
  <c r="K73" i="2"/>
  <c r="K57" i="2"/>
  <c r="K41" i="2"/>
  <c r="K25" i="2"/>
  <c r="K9" i="2"/>
  <c r="K970" i="2"/>
  <c r="K906" i="2"/>
  <c r="K874" i="2"/>
  <c r="K842" i="2"/>
  <c r="K972" i="2"/>
  <c r="K940" i="2"/>
  <c r="K908" i="2"/>
  <c r="K876" i="2"/>
  <c r="K844" i="2"/>
  <c r="K812" i="2"/>
  <c r="K780" i="2"/>
  <c r="K748" i="2"/>
  <c r="K716" i="2"/>
  <c r="K684" i="2"/>
  <c r="K652" i="2"/>
  <c r="K620" i="2"/>
  <c r="K588" i="2"/>
  <c r="K564" i="2"/>
  <c r="K544" i="2"/>
  <c r="K522" i="2"/>
  <c r="K500" i="2"/>
  <c r="K480" i="2"/>
  <c r="K464" i="2"/>
  <c r="K448" i="2"/>
  <c r="K432" i="2"/>
  <c r="K416" i="2"/>
  <c r="K400" i="2"/>
  <c r="K384" i="2"/>
  <c r="K368" i="2"/>
  <c r="K352" i="2"/>
  <c r="K336" i="2"/>
  <c r="K321" i="2"/>
  <c r="K313" i="2"/>
  <c r="K305" i="2"/>
  <c r="K297" i="2"/>
  <c r="K289" i="2"/>
  <c r="K281" i="2"/>
  <c r="K273" i="2"/>
  <c r="K265" i="2"/>
  <c r="K257" i="2"/>
  <c r="K249" i="2"/>
  <c r="K241" i="2"/>
  <c r="K233" i="2"/>
  <c r="K225" i="2"/>
  <c r="K217" i="2"/>
  <c r="K209" i="2"/>
  <c r="K201" i="2"/>
  <c r="K193" i="2"/>
  <c r="K185" i="2"/>
  <c r="K177" i="2"/>
  <c r="K169" i="2"/>
  <c r="K153" i="2"/>
  <c r="K145" i="2"/>
  <c r="K137" i="2"/>
  <c r="K121" i="2"/>
  <c r="K105" i="2"/>
  <c r="K89" i="2"/>
  <c r="K65" i="2"/>
  <c r="K49" i="2"/>
  <c r="K33" i="2"/>
  <c r="K17" i="2"/>
  <c r="H3" i="2"/>
  <c r="K40" i="2"/>
  <c r="K83" i="2"/>
  <c r="K127" i="2"/>
  <c r="K168" i="2"/>
  <c r="K223" i="2"/>
  <c r="K287" i="2"/>
  <c r="K443" i="2"/>
  <c r="K740" i="2"/>
  <c r="K23" i="2"/>
  <c r="K64" i="2"/>
  <c r="K107" i="2"/>
  <c r="K128" i="2"/>
  <c r="K151" i="2"/>
  <c r="K171" i="2"/>
  <c r="K195" i="2"/>
  <c r="K224" i="2"/>
  <c r="K256" i="2"/>
  <c r="K288" i="2"/>
  <c r="K320" i="2"/>
  <c r="K380" i="2"/>
  <c r="K444" i="2"/>
  <c r="K520" i="2"/>
  <c r="K618" i="2"/>
  <c r="K746" i="2"/>
  <c r="K932" i="2"/>
  <c r="K31" i="2"/>
  <c r="K72" i="2"/>
  <c r="K115" i="2"/>
  <c r="K179" i="2"/>
  <c r="K239" i="2"/>
  <c r="K347" i="2"/>
  <c r="K560" i="2"/>
  <c r="K11" i="2"/>
  <c r="K75" i="2"/>
  <c r="K119" i="2"/>
  <c r="K183" i="2"/>
  <c r="K348" i="2"/>
  <c r="K19" i="2"/>
  <c r="K63" i="2"/>
  <c r="K104" i="2"/>
  <c r="K147" i="2"/>
  <c r="K192" i="2"/>
  <c r="K255" i="2"/>
  <c r="K319" i="2"/>
  <c r="K379" i="2"/>
  <c r="K516" i="2"/>
  <c r="K612" i="2"/>
  <c r="K900" i="2"/>
  <c r="K2" i="2"/>
  <c r="K43" i="2"/>
  <c r="K87" i="2"/>
  <c r="K4" i="2"/>
  <c r="K24" i="2"/>
  <c r="K47" i="2"/>
  <c r="K67" i="2"/>
  <c r="K88" i="2"/>
  <c r="K111" i="2"/>
  <c r="K131" i="2"/>
  <c r="K152" i="2"/>
  <c r="K175" i="2"/>
  <c r="K199" i="2"/>
  <c r="K231" i="2"/>
  <c r="K263" i="2"/>
  <c r="K295" i="2"/>
  <c r="K331" i="2"/>
  <c r="K395" i="2"/>
  <c r="K459" i="2"/>
  <c r="K538" i="2"/>
  <c r="K644" i="2"/>
  <c r="K772" i="2"/>
  <c r="K938" i="2"/>
  <c r="K27" i="2"/>
  <c r="K48" i="2"/>
  <c r="K71" i="2"/>
  <c r="K91" i="2"/>
  <c r="K112" i="2"/>
  <c r="K135" i="2"/>
  <c r="K155" i="2"/>
  <c r="K176" i="2"/>
  <c r="K200" i="2"/>
  <c r="K232" i="2"/>
  <c r="K264" i="2"/>
  <c r="K296" i="2"/>
  <c r="K332" i="2"/>
  <c r="K396" i="2"/>
  <c r="K460" i="2"/>
  <c r="K540" i="2"/>
  <c r="K650" i="2"/>
  <c r="K778" i="2"/>
  <c r="K964" i="2"/>
  <c r="H12" i="1"/>
  <c r="G12" i="1"/>
  <c r="H11" i="1"/>
  <c r="G11" i="1"/>
  <c r="C5" i="1"/>
  <c r="L7" i="1" s="1"/>
  <c r="L6" i="1" l="1"/>
  <c r="G14" i="1"/>
  <c r="L8" i="1" s="1"/>
  <c r="H14" i="1"/>
</calcChain>
</file>

<file path=xl/sharedStrings.xml><?xml version="1.0" encoding="utf-8"?>
<sst xmlns="http://schemas.openxmlformats.org/spreadsheetml/2006/main" count="102" uniqueCount="74">
  <si>
    <t>D</t>
  </si>
  <si>
    <t>g</t>
  </si>
  <si>
    <t>h</t>
  </si>
  <si>
    <t>m</t>
  </si>
  <si>
    <t>Ni</t>
  </si>
  <si>
    <t>Ti</t>
  </si>
  <si>
    <t>質量数</t>
  </si>
  <si>
    <t>質量密度[g/cm3]</t>
  </si>
  <si>
    <t>剛性率[GPa]</t>
  </si>
  <si>
    <t>体積弾性率[GPa]</t>
  </si>
  <si>
    <t>NA</t>
  </si>
  <si>
    <t>pi</t>
  </si>
  <si>
    <t>4πD</t>
  </si>
  <si>
    <t>math const.</t>
  </si>
  <si>
    <t>phys. Const.</t>
  </si>
  <si>
    <t>grav. Const.</t>
  </si>
  <si>
    <t>Plank const.</t>
  </si>
  <si>
    <t>Avogadro const.</t>
  </si>
  <si>
    <t>neutron mass</t>
  </si>
  <si>
    <t>rH</t>
  </si>
  <si>
    <t>H nucl. radius</t>
  </si>
  <si>
    <t>mirror gap</t>
  </si>
  <si>
    <t>atomic const.</t>
  </si>
  <si>
    <t>πgm^2D^2/h^2</t>
  </si>
  <si>
    <t>Nbc/2π</t>
  </si>
  <si>
    <t>ratio (Ni/Ti)</t>
  </si>
  <si>
    <t>real Nbc/2π</t>
  </si>
  <si>
    <t>核半径bc[m]</t>
  </si>
  <si>
    <t>数密度N[/m3]</t>
  </si>
  <si>
    <t>無色はSI単位系</t>
  </si>
  <si>
    <t>e</t>
  </si>
  <si>
    <t>elementary charge</t>
  </si>
  <si>
    <t>delta_phi_a</t>
  </si>
  <si>
    <t>delta_phi_g</t>
  </si>
  <si>
    <t>delta_phi</t>
  </si>
  <si>
    <t>(I_0-I_H)/(I_0+I_H)</t>
  </si>
  <si>
    <t>L</t>
  </si>
  <si>
    <t>alignment variables</t>
  </si>
  <si>
    <t>consequence</t>
  </si>
  <si>
    <t>phys.variables</t>
  </si>
  <si>
    <t xml:space="preserve"> Theta</t>
    <phoneticPr fontId="2"/>
  </si>
  <si>
    <t>rad</t>
    <phoneticPr fontId="2"/>
  </si>
  <si>
    <t>i</t>
    <phoneticPr fontId="2"/>
  </si>
  <si>
    <t>deltal_i</t>
    <phoneticPr fontId="2"/>
  </si>
  <si>
    <t>断面積</t>
    <rPh sb="0" eb="3">
      <t>ダンメンセキ</t>
    </rPh>
    <phoneticPr fontId="2"/>
  </si>
  <si>
    <t>m^2</t>
    <phoneticPr fontId="2"/>
  </si>
  <si>
    <t>ばね定数</t>
    <rPh sb="2" eb="4">
      <t>テイスウ</t>
    </rPh>
    <phoneticPr fontId="2"/>
  </si>
  <si>
    <t>N/m^2</t>
    <phoneticPr fontId="2"/>
  </si>
  <si>
    <t>(鋳鉄)</t>
    <rPh sb="1" eb="3">
      <t>チュウテツ</t>
    </rPh>
    <phoneticPr fontId="2"/>
  </si>
  <si>
    <t>deltaL=</t>
    <phoneticPr fontId="2"/>
  </si>
  <si>
    <t>m</t>
    <phoneticPr fontId="2"/>
  </si>
  <si>
    <t>N</t>
    <phoneticPr fontId="2"/>
  </si>
  <si>
    <t>個</t>
    <rPh sb="0" eb="1">
      <t>コ</t>
    </rPh>
    <phoneticPr fontId="2"/>
  </si>
  <si>
    <t>d</t>
    <phoneticPr fontId="2"/>
  </si>
  <si>
    <t>重力定数</t>
    <rPh sb="0" eb="4">
      <t>ジュウリョクテイスウ</t>
    </rPh>
    <phoneticPr fontId="2"/>
  </si>
  <si>
    <t>N/kg</t>
    <phoneticPr fontId="2"/>
  </si>
  <si>
    <t>M</t>
    <phoneticPr fontId="2"/>
  </si>
  <si>
    <t>kg</t>
    <phoneticPr fontId="2"/>
  </si>
  <si>
    <t>鋳鉄密度</t>
    <rPh sb="0" eb="4">
      <t>チュウテツミツド</t>
    </rPh>
    <phoneticPr fontId="2"/>
  </si>
  <si>
    <t>kg/m^3</t>
    <phoneticPr fontId="2"/>
  </si>
  <si>
    <t>δθ</t>
  </si>
  <si>
    <t>λ</t>
  </si>
  <si>
    <t>devive Const</t>
  </si>
  <si>
    <t>θ</t>
  </si>
  <si>
    <t>ΔΦ_a</t>
  </si>
  <si>
    <t>ΔΦ_g1</t>
  </si>
  <si>
    <t>ΔΦ_g2/ΔΦ_a</t>
  </si>
  <si>
    <r>
      <rPr>
        <sz val="12"/>
        <color theme="1"/>
        <rFont val="Calibri"/>
        <family val="1"/>
        <charset val="161"/>
      </rPr>
      <t>ΔΦ</t>
    </r>
    <r>
      <rPr>
        <sz val="12"/>
        <color theme="1"/>
        <rFont val="UD デジタル 教科書体 NP-R"/>
        <family val="1"/>
        <charset val="128"/>
      </rPr>
      <t>_g2(</t>
    </r>
    <r>
      <rPr>
        <sz val="12"/>
        <color theme="1"/>
        <rFont val="Calibri"/>
        <family val="1"/>
      </rPr>
      <t>dep</t>
    </r>
    <r>
      <rPr>
        <sz val="12"/>
        <color theme="1"/>
        <rFont val="UD デジタル 教科書体 NP-R"/>
        <family val="1"/>
        <charset val="128"/>
      </rPr>
      <t>)</t>
    </r>
    <phoneticPr fontId="5"/>
  </si>
  <si>
    <t>素電荷</t>
  </si>
  <si>
    <t>水素半径</t>
  </si>
  <si>
    <t>中性子質量</t>
  </si>
  <si>
    <t>アボガドロ定数</t>
  </si>
  <si>
    <t>プランク定数</t>
  </si>
  <si>
    <t>重力定数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</si>
</sst>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2"/>
      <color rgb="FF9C0006"/>
      <name val="Calibri"/>
      <family val="2"/>
      <scheme val="minor"/>
    </font>
    <font>
      <sz val="12"/>
      <color theme="1"/>
      <name val="UD デジタル 教科書体 NP-R"/>
      <family val="1"/>
      <charset val="128"/>
    </font>
    <font>
      <sz val="12"/>
      <color rgb="FF9C0006"/>
      <name val="UD デジタル 教科書体 NP-R"/>
      <family val="1"/>
      <charset val="128"/>
    </font>
    <font>
      <sz val="6"/>
      <name val="Calibri"/>
      <family val="3"/>
      <charset val="128"/>
      <scheme val="minor"/>
    </font>
    <font>
      <sz val="12"/>
      <color theme="1"/>
      <name val="Calibri"/>
      <family val="1"/>
      <charset val="161"/>
    </font>
    <font>
      <sz val="12"/>
      <color theme="1"/>
      <name val="Calibri"/>
      <family val="1"/>
    </font>
    <font>
      <sz val="12"/>
      <color theme="1"/>
      <name val="UD デジタル 教科書体 NP-R"/>
      <family val="1"/>
      <charset val="161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0" borderId="0">
      <alignment vertical="center"/>
    </xf>
  </cellStyleXfs>
  <cellXfs count="32">
    <xf numFmtId="0" fontId="0" fillId="0" borderId="0" xfId="0"/>
    <xf numFmtId="0" fontId="1" fillId="0" borderId="0" xfId="2">
      <alignment vertical="center"/>
    </xf>
    <xf numFmtId="0" fontId="3" fillId="0" borderId="0" xfId="0" applyFont="1"/>
    <xf numFmtId="0" fontId="4" fillId="2" borderId="0" xfId="1" applyFont="1"/>
    <xf numFmtId="11" fontId="3" fillId="0" borderId="0" xfId="0" applyNumberFormat="1" applyFont="1"/>
    <xf numFmtId="0" fontId="8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3" fillId="0" borderId="5" xfId="0" applyFont="1" applyBorder="1" applyAlignment="1">
      <alignment horizontal="center" vertical="center"/>
    </xf>
    <xf numFmtId="11" fontId="3" fillId="0" borderId="0" xfId="0" applyNumberFormat="1" applyFont="1" applyBorder="1" applyAlignment="1">
      <alignment horizontal="right" vertical="center"/>
    </xf>
    <xf numFmtId="0" fontId="3" fillId="0" borderId="6" xfId="0" applyFont="1" applyBorder="1" applyAlignment="1">
      <alignment horizontal="center" vertical="center"/>
    </xf>
    <xf numFmtId="11" fontId="3" fillId="0" borderId="7" xfId="0" applyNumberFormat="1" applyFont="1" applyBorder="1" applyAlignment="1">
      <alignment horizontal="right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11" fontId="3" fillId="0" borderId="0" xfId="0" applyNumberFormat="1" applyFont="1" applyBorder="1"/>
    <xf numFmtId="0" fontId="3" fillId="0" borderId="5" xfId="0" applyFont="1" applyBorder="1"/>
    <xf numFmtId="0" fontId="3" fillId="0" borderId="0" xfId="0" applyFont="1" applyBorder="1"/>
    <xf numFmtId="0" fontId="3" fillId="0" borderId="6" xfId="0" applyFont="1" applyBorder="1"/>
    <xf numFmtId="11" fontId="3" fillId="0" borderId="7" xfId="0" applyNumberFormat="1" applyFont="1" applyBorder="1"/>
    <xf numFmtId="0" fontId="3" fillId="0" borderId="7" xfId="0" applyFont="1" applyBorder="1"/>
    <xf numFmtId="0" fontId="4" fillId="2" borderId="0" xfId="1" applyFont="1" applyBorder="1"/>
    <xf numFmtId="0" fontId="4" fillId="2" borderId="5" xfId="1" applyFont="1" applyBorder="1"/>
    <xf numFmtId="11" fontId="3" fillId="0" borderId="5" xfId="0" applyNumberFormat="1" applyFont="1" applyBorder="1"/>
    <xf numFmtId="11" fontId="3" fillId="0" borderId="8" xfId="0" applyNumberFormat="1" applyFont="1" applyBorder="1"/>
  </cellXfs>
  <cellStyles count="3">
    <cellStyle name="悪い" xfId="1" builtinId="27"/>
    <cellStyle name="標準" xfId="0" builtinId="0"/>
    <cellStyle name="標準 2" xfId="2" xr:uid="{E1910935-8FBC-4A18-87DF-D0F85674BB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de-DE" sz="1600">
                <a:solidFill>
                  <a:schemeClr val="tx1"/>
                </a:solidFill>
              </a:rPr>
              <a:t>位相差比の</a:t>
            </a:r>
            <a:r>
              <a:rPr lang="de-DE" altLang="ja-JP" sz="1600">
                <a:solidFill>
                  <a:schemeClr val="tx1"/>
                </a:solidFill>
              </a:rPr>
              <a:t>δθ</a:t>
            </a:r>
            <a:r>
              <a:rPr lang="ja-JP" altLang="de-DE" sz="1600">
                <a:solidFill>
                  <a:schemeClr val="tx1"/>
                </a:solidFill>
              </a:rPr>
              <a:t>依存性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位相概算各種数値!$F$25:$F$124</c:f>
              <c:numCache>
                <c:formatCode>General</c:formatCode>
                <c:ptCount val="100"/>
                <c:pt idx="0">
                  <c:v>1.7999999999999999E-6</c:v>
                </c:pt>
                <c:pt idx="1">
                  <c:v>3.5999999999999998E-6</c:v>
                </c:pt>
                <c:pt idx="2">
                  <c:v>5.4E-6</c:v>
                </c:pt>
                <c:pt idx="3">
                  <c:v>7.1999999999999997E-6</c:v>
                </c:pt>
                <c:pt idx="4">
                  <c:v>9.0000000000000002E-6</c:v>
                </c:pt>
                <c:pt idx="5">
                  <c:v>1.08E-5</c:v>
                </c:pt>
                <c:pt idx="6">
                  <c:v>1.26E-5</c:v>
                </c:pt>
                <c:pt idx="7">
                  <c:v>1.4399999999999999E-5</c:v>
                </c:pt>
                <c:pt idx="8">
                  <c:v>1.6200000000000001E-5</c:v>
                </c:pt>
                <c:pt idx="9">
                  <c:v>1.8E-5</c:v>
                </c:pt>
                <c:pt idx="10">
                  <c:v>1.98E-5</c:v>
                </c:pt>
                <c:pt idx="11">
                  <c:v>2.16E-5</c:v>
                </c:pt>
                <c:pt idx="12">
                  <c:v>2.34E-5</c:v>
                </c:pt>
                <c:pt idx="13">
                  <c:v>2.5199999999999999E-5</c:v>
                </c:pt>
                <c:pt idx="14">
                  <c:v>2.6999999999999999E-5</c:v>
                </c:pt>
                <c:pt idx="15">
                  <c:v>2.8799999999999999E-5</c:v>
                </c:pt>
                <c:pt idx="16">
                  <c:v>3.0599999999999998E-5</c:v>
                </c:pt>
                <c:pt idx="17">
                  <c:v>3.2400000000000001E-5</c:v>
                </c:pt>
                <c:pt idx="18">
                  <c:v>3.4200000000000005E-5</c:v>
                </c:pt>
                <c:pt idx="19">
                  <c:v>3.6000000000000008E-5</c:v>
                </c:pt>
                <c:pt idx="20">
                  <c:v>3.7800000000000011E-5</c:v>
                </c:pt>
                <c:pt idx="21">
                  <c:v>3.9600000000000014E-5</c:v>
                </c:pt>
                <c:pt idx="22">
                  <c:v>4.1400000000000017E-5</c:v>
                </c:pt>
                <c:pt idx="23">
                  <c:v>4.320000000000002E-5</c:v>
                </c:pt>
                <c:pt idx="24">
                  <c:v>4.5000000000000023E-5</c:v>
                </c:pt>
                <c:pt idx="25">
                  <c:v>4.6800000000000026E-5</c:v>
                </c:pt>
                <c:pt idx="26">
                  <c:v>4.8600000000000029E-5</c:v>
                </c:pt>
                <c:pt idx="27">
                  <c:v>5.0400000000000032E-5</c:v>
                </c:pt>
                <c:pt idx="28">
                  <c:v>5.2200000000000036E-5</c:v>
                </c:pt>
                <c:pt idx="29">
                  <c:v>5.4000000000000039E-5</c:v>
                </c:pt>
                <c:pt idx="30">
                  <c:v>5.5800000000000042E-5</c:v>
                </c:pt>
                <c:pt idx="31">
                  <c:v>5.7600000000000045E-5</c:v>
                </c:pt>
                <c:pt idx="32">
                  <c:v>5.9400000000000048E-5</c:v>
                </c:pt>
                <c:pt idx="33">
                  <c:v>6.1200000000000051E-5</c:v>
                </c:pt>
                <c:pt idx="34">
                  <c:v>6.3000000000000054E-5</c:v>
                </c:pt>
                <c:pt idx="35">
                  <c:v>6.4800000000000057E-5</c:v>
                </c:pt>
                <c:pt idx="36">
                  <c:v>6.660000000000006E-5</c:v>
                </c:pt>
                <c:pt idx="37">
                  <c:v>6.8400000000000063E-5</c:v>
                </c:pt>
                <c:pt idx="38">
                  <c:v>7.0200000000000066E-5</c:v>
                </c:pt>
                <c:pt idx="39">
                  <c:v>7.200000000000007E-5</c:v>
                </c:pt>
                <c:pt idx="40">
                  <c:v>7.3800000000000073E-5</c:v>
                </c:pt>
                <c:pt idx="41">
                  <c:v>7.5600000000000076E-5</c:v>
                </c:pt>
                <c:pt idx="42">
                  <c:v>7.7400000000000079E-5</c:v>
                </c:pt>
                <c:pt idx="43">
                  <c:v>7.9200000000000082E-5</c:v>
                </c:pt>
                <c:pt idx="44">
                  <c:v>8.1000000000000085E-5</c:v>
                </c:pt>
                <c:pt idx="45">
                  <c:v>8.2800000000000088E-5</c:v>
                </c:pt>
                <c:pt idx="46">
                  <c:v>8.4600000000000091E-5</c:v>
                </c:pt>
                <c:pt idx="47">
                  <c:v>8.6400000000000094E-5</c:v>
                </c:pt>
                <c:pt idx="48">
                  <c:v>8.8200000000000097E-5</c:v>
                </c:pt>
                <c:pt idx="49">
                  <c:v>9.0000000000000101E-5</c:v>
                </c:pt>
                <c:pt idx="50">
                  <c:v>9.1800000000000104E-5</c:v>
                </c:pt>
                <c:pt idx="51">
                  <c:v>9.3600000000000107E-5</c:v>
                </c:pt>
                <c:pt idx="52">
                  <c:v>9.540000000000011E-5</c:v>
                </c:pt>
                <c:pt idx="53">
                  <c:v>9.7200000000000113E-5</c:v>
                </c:pt>
                <c:pt idx="54">
                  <c:v>9.9000000000000116E-5</c:v>
                </c:pt>
                <c:pt idx="55">
                  <c:v>1.0080000000000012E-4</c:v>
                </c:pt>
                <c:pt idx="56">
                  <c:v>1.0260000000000012E-4</c:v>
                </c:pt>
                <c:pt idx="57">
                  <c:v>1.0440000000000013E-4</c:v>
                </c:pt>
                <c:pt idx="58">
                  <c:v>1.0620000000000013E-4</c:v>
                </c:pt>
                <c:pt idx="59">
                  <c:v>1.0800000000000013E-4</c:v>
                </c:pt>
                <c:pt idx="60">
                  <c:v>1.0980000000000013E-4</c:v>
                </c:pt>
                <c:pt idx="61">
                  <c:v>1.1160000000000014E-4</c:v>
                </c:pt>
                <c:pt idx="62">
                  <c:v>1.1340000000000014E-4</c:v>
                </c:pt>
                <c:pt idx="63">
                  <c:v>1.1520000000000014E-4</c:v>
                </c:pt>
                <c:pt idx="64">
                  <c:v>1.1700000000000015E-4</c:v>
                </c:pt>
                <c:pt idx="65">
                  <c:v>1.1880000000000015E-4</c:v>
                </c:pt>
                <c:pt idx="66">
                  <c:v>1.2060000000000015E-4</c:v>
                </c:pt>
                <c:pt idx="67">
                  <c:v>1.2240000000000016E-4</c:v>
                </c:pt>
                <c:pt idx="68">
                  <c:v>1.2420000000000015E-4</c:v>
                </c:pt>
                <c:pt idx="69">
                  <c:v>1.2600000000000014E-4</c:v>
                </c:pt>
                <c:pt idx="70">
                  <c:v>1.2780000000000012E-4</c:v>
                </c:pt>
                <c:pt idx="71">
                  <c:v>1.2960000000000011E-4</c:v>
                </c:pt>
                <c:pt idx="72">
                  <c:v>1.314000000000001E-4</c:v>
                </c:pt>
                <c:pt idx="73">
                  <c:v>1.3320000000000009E-4</c:v>
                </c:pt>
                <c:pt idx="74">
                  <c:v>1.3500000000000008E-4</c:v>
                </c:pt>
                <c:pt idx="75">
                  <c:v>1.3680000000000007E-4</c:v>
                </c:pt>
                <c:pt idx="76">
                  <c:v>1.3860000000000006E-4</c:v>
                </c:pt>
                <c:pt idx="77">
                  <c:v>1.4040000000000005E-4</c:v>
                </c:pt>
                <c:pt idx="78">
                  <c:v>1.4220000000000004E-4</c:v>
                </c:pt>
                <c:pt idx="79">
                  <c:v>1.4400000000000003E-4</c:v>
                </c:pt>
                <c:pt idx="80">
                  <c:v>1.4580000000000002E-4</c:v>
                </c:pt>
                <c:pt idx="81">
                  <c:v>1.4760000000000001E-4</c:v>
                </c:pt>
                <c:pt idx="82">
                  <c:v>1.494E-4</c:v>
                </c:pt>
                <c:pt idx="83">
                  <c:v>1.5119999999999999E-4</c:v>
                </c:pt>
                <c:pt idx="84">
                  <c:v>1.5299999999999998E-4</c:v>
                </c:pt>
                <c:pt idx="85">
                  <c:v>1.5479999999999997E-4</c:v>
                </c:pt>
                <c:pt idx="86">
                  <c:v>1.5659999999999996E-4</c:v>
                </c:pt>
                <c:pt idx="87">
                  <c:v>1.5839999999999995E-4</c:v>
                </c:pt>
                <c:pt idx="88">
                  <c:v>1.6019999999999994E-4</c:v>
                </c:pt>
                <c:pt idx="89">
                  <c:v>1.6199999999999993E-4</c:v>
                </c:pt>
                <c:pt idx="90">
                  <c:v>1.6379999999999992E-4</c:v>
                </c:pt>
                <c:pt idx="91">
                  <c:v>1.6559999999999991E-4</c:v>
                </c:pt>
                <c:pt idx="92">
                  <c:v>1.6739999999999989E-4</c:v>
                </c:pt>
                <c:pt idx="93">
                  <c:v>1.6919999999999988E-4</c:v>
                </c:pt>
                <c:pt idx="94">
                  <c:v>1.7099999999999987E-4</c:v>
                </c:pt>
                <c:pt idx="95">
                  <c:v>1.7279999999999986E-4</c:v>
                </c:pt>
                <c:pt idx="96">
                  <c:v>1.7459999999999985E-4</c:v>
                </c:pt>
                <c:pt idx="97">
                  <c:v>1.7639999999999984E-4</c:v>
                </c:pt>
                <c:pt idx="98">
                  <c:v>1.7819999999999983E-4</c:v>
                </c:pt>
                <c:pt idx="99">
                  <c:v>1.7999999999999982E-4</c:v>
                </c:pt>
              </c:numCache>
            </c:numRef>
          </c:xVal>
          <c:yVal>
            <c:numRef>
              <c:f>位相概算各種数値!$E$25:$E$124</c:f>
              <c:numCache>
                <c:formatCode>General</c:formatCode>
                <c:ptCount val="100"/>
                <c:pt idx="0">
                  <c:v>8.1698771498671999E-7</c:v>
                </c:pt>
                <c:pt idx="1">
                  <c:v>8.1682437592841732E-7</c:v>
                </c:pt>
                <c:pt idx="2">
                  <c:v>8.1666108585380659E-7</c:v>
                </c:pt>
                <c:pt idx="3">
                  <c:v>8.1649784474330249E-7</c:v>
                </c:pt>
                <c:pt idx="4">
                  <c:v>8.163346525773304E-7</c:v>
                </c:pt>
                <c:pt idx="5">
                  <c:v>8.1617150933632566E-7</c:v>
                </c:pt>
                <c:pt idx="6">
                  <c:v>8.1600841500073293E-7</c:v>
                </c:pt>
                <c:pt idx="7">
                  <c:v>8.158453695510066E-7</c:v>
                </c:pt>
                <c:pt idx="8">
                  <c:v>8.1568237296761178E-7</c:v>
                </c:pt>
                <c:pt idx="9">
                  <c:v>8.1551942523102201E-7</c:v>
                </c:pt>
                <c:pt idx="10">
                  <c:v>8.1535652632172166E-7</c:v>
                </c:pt>
                <c:pt idx="11">
                  <c:v>8.1519367622020366E-7</c:v>
                </c:pt>
                <c:pt idx="12">
                  <c:v>8.1503087490697229E-7</c:v>
                </c:pt>
                <c:pt idx="13">
                  <c:v>8.1486812236253996E-7</c:v>
                </c:pt>
                <c:pt idx="14">
                  <c:v>8.1470541856742956E-7</c:v>
                </c:pt>
                <c:pt idx="15">
                  <c:v>8.1454276350217418E-7</c:v>
                </c:pt>
                <c:pt idx="16">
                  <c:v>8.1438015714731534E-7</c:v>
                </c:pt>
                <c:pt idx="17">
                  <c:v>8.1421759948340591E-7</c:v>
                </c:pt>
                <c:pt idx="18">
                  <c:v>8.1405509049100658E-7</c:v>
                </c:pt>
                <c:pt idx="19">
                  <c:v>8.138926301506897E-7</c:v>
                </c:pt>
                <c:pt idx="20">
                  <c:v>8.13730218443036E-7</c:v>
                </c:pt>
                <c:pt idx="21">
                  <c:v>8.1356785534863622E-7</c:v>
                </c:pt>
                <c:pt idx="22">
                  <c:v>8.134055408480911E-7</c:v>
                </c:pt>
                <c:pt idx="23">
                  <c:v>8.1324327492201015E-7</c:v>
                </c:pt>
                <c:pt idx="24">
                  <c:v>8.1308105755101367E-7</c:v>
                </c:pt>
                <c:pt idx="25">
                  <c:v>8.1291888871573097E-7</c:v>
                </c:pt>
                <c:pt idx="26">
                  <c:v>8.1275676839680122E-7</c:v>
                </c:pt>
                <c:pt idx="27">
                  <c:v>8.1259469657487331E-7</c:v>
                </c:pt>
                <c:pt idx="28">
                  <c:v>8.1243267323060587E-7</c:v>
                </c:pt>
                <c:pt idx="29">
                  <c:v>8.1227069834466623E-7</c:v>
                </c:pt>
                <c:pt idx="30">
                  <c:v>8.1210877189773218E-7</c:v>
                </c:pt>
                <c:pt idx="31">
                  <c:v>8.1194689387049202E-7</c:v>
                </c:pt>
                <c:pt idx="32">
                  <c:v>8.1178506424364186E-7</c:v>
                </c:pt>
                <c:pt idx="33">
                  <c:v>8.1162328299788873E-7</c:v>
                </c:pt>
                <c:pt idx="34">
                  <c:v>8.1146155011394864E-7</c:v>
                </c:pt>
                <c:pt idx="35">
                  <c:v>8.1129986557254737E-7</c:v>
                </c:pt>
                <c:pt idx="36">
                  <c:v>8.1113822935442E-7</c:v>
                </c:pt>
                <c:pt idx="37">
                  <c:v>8.1097664144031263E-7</c:v>
                </c:pt>
                <c:pt idx="38">
                  <c:v>8.1081510181097843E-7</c:v>
                </c:pt>
                <c:pt idx="39">
                  <c:v>8.1065361044718267E-7</c:v>
                </c:pt>
                <c:pt idx="40">
                  <c:v>8.1049216732969834E-7</c:v>
                </c:pt>
                <c:pt idx="41">
                  <c:v>8.1033077243930911E-7</c:v>
                </c:pt>
                <c:pt idx="42">
                  <c:v>8.1016942575680704E-7</c:v>
                </c:pt>
                <c:pt idx="43">
                  <c:v>8.1000812726299634E-7</c:v>
                </c:pt>
                <c:pt idx="44">
                  <c:v>8.0984687693868801E-7</c:v>
                </c:pt>
                <c:pt idx="45">
                  <c:v>8.0968567476470354E-7</c:v>
                </c:pt>
                <c:pt idx="46">
                  <c:v>8.0952452072187403E-7</c:v>
                </c:pt>
                <c:pt idx="47">
                  <c:v>8.0936341479103993E-7</c:v>
                </c:pt>
                <c:pt idx="48">
                  <c:v>8.0920235695305224E-7</c:v>
                </c:pt>
                <c:pt idx="49">
                  <c:v>8.0904134718876993E-7</c:v>
                </c:pt>
                <c:pt idx="50">
                  <c:v>8.0888038547906214E-7</c:v>
                </c:pt>
                <c:pt idx="51">
                  <c:v>8.0871947180480803E-7</c:v>
                </c:pt>
                <c:pt idx="52">
                  <c:v>8.0855860614689516E-7</c:v>
                </c:pt>
                <c:pt idx="53">
                  <c:v>8.0839778848622252E-7</c:v>
                </c:pt>
                <c:pt idx="54">
                  <c:v>8.0823701880369617E-7</c:v>
                </c:pt>
                <c:pt idx="55">
                  <c:v>8.0807629708023322E-7</c:v>
                </c:pt>
                <c:pt idx="56">
                  <c:v>8.0791562329676006E-7</c:v>
                </c:pt>
                <c:pt idx="57">
                  <c:v>8.0775499743421231E-7</c:v>
                </c:pt>
                <c:pt idx="58">
                  <c:v>8.0759441947353523E-7</c:v>
                </c:pt>
                <c:pt idx="59">
                  <c:v>8.0743388939568297E-7</c:v>
                </c:pt>
                <c:pt idx="60">
                  <c:v>8.0727340718162057E-7</c:v>
                </c:pt>
                <c:pt idx="61">
                  <c:v>8.0711297281232102E-7</c:v>
                </c:pt>
                <c:pt idx="62">
                  <c:v>8.0695258626876717E-7</c:v>
                </c:pt>
                <c:pt idx="63">
                  <c:v>8.0679224753195139E-7</c:v>
                </c:pt>
                <c:pt idx="64">
                  <c:v>8.0663195658287632E-7</c:v>
                </c:pt>
                <c:pt idx="65">
                  <c:v>8.0647171340255263E-7</c:v>
                </c:pt>
                <c:pt idx="66">
                  <c:v>8.0631151797200172E-7</c:v>
                </c:pt>
                <c:pt idx="67">
                  <c:v>8.0615137027225333E-7</c:v>
                </c:pt>
                <c:pt idx="68">
                  <c:v>8.0599127028434725E-7</c:v>
                </c:pt>
                <c:pt idx="69">
                  <c:v>8.0583121798933208E-7</c:v>
                </c:pt>
                <c:pt idx="70">
                  <c:v>8.056712133682671E-7</c:v>
                </c:pt>
                <c:pt idx="71">
                  <c:v>8.0551125640222018E-7</c:v>
                </c:pt>
                <c:pt idx="72">
                  <c:v>8.0535134707226712E-7</c:v>
                </c:pt>
                <c:pt idx="73">
                  <c:v>8.0519148535949641E-7</c:v>
                </c:pt>
                <c:pt idx="74">
                  <c:v>8.0503167124500293E-7</c:v>
                </c:pt>
                <c:pt idx="75">
                  <c:v>8.0487190470989223E-7</c:v>
                </c:pt>
                <c:pt idx="76">
                  <c:v>8.0471218573527917E-7</c:v>
                </c:pt>
                <c:pt idx="77">
                  <c:v>8.0455251430228838E-7</c:v>
                </c:pt>
                <c:pt idx="78">
                  <c:v>8.0439289039205282E-7</c:v>
                </c:pt>
                <c:pt idx="79">
                  <c:v>8.042333139857149E-7</c:v>
                </c:pt>
                <c:pt idx="80">
                  <c:v>8.0407378506442823E-7</c:v>
                </c:pt>
                <c:pt idx="81">
                  <c:v>8.0391430360935322E-7</c:v>
                </c:pt>
                <c:pt idx="82">
                  <c:v>8.0375486960166128E-7</c:v>
                </c:pt>
                <c:pt idx="83">
                  <c:v>8.0359548302253271E-7</c:v>
                </c:pt>
                <c:pt idx="84">
                  <c:v>8.0343614385315703E-7</c:v>
                </c:pt>
                <c:pt idx="85">
                  <c:v>8.0327685207473223E-7</c:v>
                </c:pt>
                <c:pt idx="86">
                  <c:v>8.0311760766846803E-7</c:v>
                </c:pt>
                <c:pt idx="87">
                  <c:v>8.0295841061558108E-7</c:v>
                </c:pt>
                <c:pt idx="88">
                  <c:v>8.0279926089729856E-7</c:v>
                </c:pt>
                <c:pt idx="89">
                  <c:v>8.0264015849485606E-7</c:v>
                </c:pt>
                <c:pt idx="90">
                  <c:v>8.0248110338949942E-7</c:v>
                </c:pt>
                <c:pt idx="91">
                  <c:v>8.0232209556248369E-7</c:v>
                </c:pt>
                <c:pt idx="92">
                  <c:v>8.0216313499507251E-7</c:v>
                </c:pt>
                <c:pt idx="93">
                  <c:v>8.0200422166853893E-7</c:v>
                </c:pt>
                <c:pt idx="94">
                  <c:v>8.0184535556416606E-7</c:v>
                </c:pt>
                <c:pt idx="95">
                  <c:v>8.0168653666324549E-7</c:v>
                </c:pt>
                <c:pt idx="96">
                  <c:v>8.0152776494707823E-7</c:v>
                </c:pt>
                <c:pt idx="97">
                  <c:v>8.013690403969749E-7</c:v>
                </c:pt>
                <c:pt idx="98">
                  <c:v>8.0121036299425463E-7</c:v>
                </c:pt>
                <c:pt idx="99">
                  <c:v>8.0105173272024702E-7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31-46AD-A669-52EB4EB8D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243839"/>
        <c:axId val="2011865343"/>
      </c:scatterChart>
      <c:valAx>
        <c:axId val="1923243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altLang="ja-JP" sz="1600">
                    <a:solidFill>
                      <a:schemeClr val="tx1"/>
                    </a:solidFill>
                  </a:rPr>
                  <a:t>δθ</a:t>
                </a:r>
                <a:endParaRPr lang="ja-JP" altLang="de-DE" sz="16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1865343"/>
        <c:crosses val="autoZero"/>
        <c:crossBetween val="midCat"/>
      </c:valAx>
      <c:valAx>
        <c:axId val="201186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altLang="ja-JP" sz="1600">
                    <a:solidFill>
                      <a:schemeClr val="tx1"/>
                    </a:solidFill>
                  </a:rPr>
                  <a:t>ΔΦ_g2/ΔΦ_a</a:t>
                </a:r>
                <a:endParaRPr lang="ja-JP" altLang="de-DE" sz="16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23243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構造計算!$J$2:$J$1001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92-49F8-A713-26FCC1DD0DE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構造計算!$K$2:$K$1001</c:f>
              <c:numCache>
                <c:formatCode>General</c:formatCode>
                <c:ptCount val="1000"/>
                <c:pt idx="0">
                  <c:v>2.4403607969344286E-12</c:v>
                </c:pt>
                <c:pt idx="1">
                  <c:v>4.8878474473959063E-12</c:v>
                </c:pt>
                <c:pt idx="2">
                  <c:v>7.3424599513844327E-12</c:v>
                </c:pt>
                <c:pt idx="3">
                  <c:v>9.8041983089000058E-12</c:v>
                </c:pt>
                <c:pt idx="4">
                  <c:v>1.2273062519942632E-11</c:v>
                </c:pt>
                <c:pt idx="5">
                  <c:v>1.47490525845123E-11</c:v>
                </c:pt>
                <c:pt idx="6">
                  <c:v>1.7232168502609024E-11</c:v>
                </c:pt>
                <c:pt idx="7">
                  <c:v>1.972241027423279E-11</c:v>
                </c:pt>
                <c:pt idx="8">
                  <c:v>2.2219777899383605E-11</c:v>
                </c:pt>
                <c:pt idx="9">
                  <c:v>2.4724271378061471E-11</c:v>
                </c:pt>
                <c:pt idx="10">
                  <c:v>2.7235890710266385E-11</c:v>
                </c:pt>
                <c:pt idx="11">
                  <c:v>2.975463589599835E-11</c:v>
                </c:pt>
                <c:pt idx="12">
                  <c:v>3.2280506935257361E-11</c:v>
                </c:pt>
                <c:pt idx="13">
                  <c:v>3.481350382804342E-11</c:v>
                </c:pt>
                <c:pt idx="14">
                  <c:v>3.7353626574356534E-11</c:v>
                </c:pt>
                <c:pt idx="15">
                  <c:v>3.9900875174196683E-11</c:v>
                </c:pt>
                <c:pt idx="16">
                  <c:v>4.2455249627563893E-11</c:v>
                </c:pt>
                <c:pt idx="17">
                  <c:v>4.5016749934458145E-11</c:v>
                </c:pt>
                <c:pt idx="18">
                  <c:v>4.7585376094879452E-11</c:v>
                </c:pt>
                <c:pt idx="19">
                  <c:v>5.01611281088278E-11</c:v>
                </c:pt>
                <c:pt idx="20">
                  <c:v>5.2744005976303197E-11</c:v>
                </c:pt>
                <c:pt idx="21">
                  <c:v>5.5334009697305649E-11</c:v>
                </c:pt>
                <c:pt idx="22">
                  <c:v>5.7931139271835142E-11</c:v>
                </c:pt>
                <c:pt idx="23">
                  <c:v>6.053539469989169E-11</c:v>
                </c:pt>
                <c:pt idx="24">
                  <c:v>6.3146775981475274E-11</c:v>
                </c:pt>
                <c:pt idx="25">
                  <c:v>6.5765283116585931E-11</c:v>
                </c:pt>
                <c:pt idx="26">
                  <c:v>6.8390916105223611E-11</c:v>
                </c:pt>
                <c:pt idx="27">
                  <c:v>7.1023674947388353E-11</c:v>
                </c:pt>
                <c:pt idx="28">
                  <c:v>7.3663559643080142E-11</c:v>
                </c:pt>
                <c:pt idx="29">
                  <c:v>7.631057019229898E-11</c:v>
                </c:pt>
                <c:pt idx="30">
                  <c:v>7.8964706595044853E-11</c:v>
                </c:pt>
                <c:pt idx="31">
                  <c:v>8.16259688513178E-11</c:v>
                </c:pt>
                <c:pt idx="32">
                  <c:v>8.429435696111777E-11</c:v>
                </c:pt>
                <c:pt idx="33">
                  <c:v>8.69698709244448E-11</c:v>
                </c:pt>
                <c:pt idx="34">
                  <c:v>8.9652510741298892E-11</c:v>
                </c:pt>
                <c:pt idx="35">
                  <c:v>9.234227641168002E-11</c:v>
                </c:pt>
                <c:pt idx="36">
                  <c:v>9.5039167935588195E-11</c:v>
                </c:pt>
                <c:pt idx="37">
                  <c:v>9.7743185313023419E-11</c:v>
                </c:pt>
                <c:pt idx="38">
                  <c:v>1.0045432854398569E-10</c:v>
                </c:pt>
                <c:pt idx="39">
                  <c:v>1.0317259762847501E-10</c:v>
                </c:pt>
                <c:pt idx="40">
                  <c:v>1.0589799256649138E-10</c:v>
                </c:pt>
                <c:pt idx="41">
                  <c:v>1.086305133580348E-10</c:v>
                </c:pt>
                <c:pt idx="42">
                  <c:v>1.1137016000310526E-10</c:v>
                </c:pt>
                <c:pt idx="43">
                  <c:v>1.1411693250170278E-10</c:v>
                </c:pt>
                <c:pt idx="44">
                  <c:v>1.1687083085382734E-10</c:v>
                </c:pt>
                <c:pt idx="45">
                  <c:v>1.1963185505947896E-10</c:v>
                </c:pt>
                <c:pt idx="46">
                  <c:v>1.2240000511865762E-10</c:v>
                </c:pt>
                <c:pt idx="47">
                  <c:v>1.2517528103136331E-10</c:v>
                </c:pt>
                <c:pt idx="48">
                  <c:v>1.2795768279759609E-10</c:v>
                </c:pt>
                <c:pt idx="49">
                  <c:v>1.3074721041735591E-10</c:v>
                </c:pt>
                <c:pt idx="50">
                  <c:v>1.3354386389064276E-10</c:v>
                </c:pt>
                <c:pt idx="51">
                  <c:v>1.3634764321745665E-10</c:v>
                </c:pt>
                <c:pt idx="52">
                  <c:v>1.3915854839779762E-10</c:v>
                </c:pt>
                <c:pt idx="53">
                  <c:v>1.419765794316656E-10</c:v>
                </c:pt>
                <c:pt idx="54">
                  <c:v>1.4480173631906065E-10</c:v>
                </c:pt>
                <c:pt idx="55">
                  <c:v>1.4763401905998275E-10</c:v>
                </c:pt>
                <c:pt idx="56">
                  <c:v>1.504734276544319E-10</c:v>
                </c:pt>
                <c:pt idx="57">
                  <c:v>1.533199621024081E-10</c:v>
                </c:pt>
                <c:pt idx="58">
                  <c:v>1.5617362240391134E-10</c:v>
                </c:pt>
                <c:pt idx="59">
                  <c:v>1.5903440855894163E-10</c:v>
                </c:pt>
                <c:pt idx="60">
                  <c:v>1.6190232056749897E-10</c:v>
                </c:pt>
                <c:pt idx="61">
                  <c:v>1.6477735842958339E-10</c:v>
                </c:pt>
                <c:pt idx="62">
                  <c:v>1.6765952214519482E-10</c:v>
                </c:pt>
                <c:pt idx="63">
                  <c:v>1.7054881171433331E-10</c:v>
                </c:pt>
                <c:pt idx="64">
                  <c:v>1.7344522713699881E-10</c:v>
                </c:pt>
                <c:pt idx="65">
                  <c:v>1.763487684131914E-10</c:v>
                </c:pt>
                <c:pt idx="66">
                  <c:v>1.7925943554291103E-10</c:v>
                </c:pt>
                <c:pt idx="67">
                  <c:v>1.8217722852615774E-10</c:v>
                </c:pt>
                <c:pt idx="68">
                  <c:v>1.8510214736293143E-10</c:v>
                </c:pt>
                <c:pt idx="69">
                  <c:v>1.8803419205323224E-10</c:v>
                </c:pt>
                <c:pt idx="70">
                  <c:v>1.9097336259706005E-10</c:v>
                </c:pt>
                <c:pt idx="71">
                  <c:v>1.9391965899441491E-10</c:v>
                </c:pt>
                <c:pt idx="72">
                  <c:v>1.9687308124529685E-10</c:v>
                </c:pt>
                <c:pt idx="73">
                  <c:v>1.9983362934970582E-10</c:v>
                </c:pt>
                <c:pt idx="74">
                  <c:v>2.0280130330764183E-10</c:v>
                </c:pt>
                <c:pt idx="75">
                  <c:v>2.057761031191049E-10</c:v>
                </c:pt>
                <c:pt idx="76">
                  <c:v>2.0875802878409506E-10</c:v>
                </c:pt>
                <c:pt idx="77">
                  <c:v>2.117470803026122E-10</c:v>
                </c:pt>
                <c:pt idx="78">
                  <c:v>2.147432576746564E-10</c:v>
                </c:pt>
                <c:pt idx="79">
                  <c:v>2.1774656090022764E-10</c:v>
                </c:pt>
                <c:pt idx="80">
                  <c:v>2.2075698997932599E-10</c:v>
                </c:pt>
                <c:pt idx="81">
                  <c:v>2.2377454491195135E-10</c:v>
                </c:pt>
                <c:pt idx="82">
                  <c:v>2.2679922569810378E-10</c:v>
                </c:pt>
                <c:pt idx="83">
                  <c:v>2.2983103233778321E-10</c:v>
                </c:pt>
                <c:pt idx="84">
                  <c:v>2.3286996483098973E-10</c:v>
                </c:pt>
                <c:pt idx="85">
                  <c:v>2.3591602317772325E-10</c:v>
                </c:pt>
                <c:pt idx="86">
                  <c:v>2.3896920737798392E-10</c:v>
                </c:pt>
                <c:pt idx="87">
                  <c:v>2.4202951743177152E-10</c:v>
                </c:pt>
                <c:pt idx="88">
                  <c:v>2.450969533390862E-10</c:v>
                </c:pt>
                <c:pt idx="89">
                  <c:v>2.4817151509992798E-10</c:v>
                </c:pt>
                <c:pt idx="90">
                  <c:v>2.5125320271429679E-10</c:v>
                </c:pt>
                <c:pt idx="91">
                  <c:v>2.5434201618219263E-10</c:v>
                </c:pt>
                <c:pt idx="92">
                  <c:v>2.5743795550361551E-10</c:v>
                </c:pt>
                <c:pt idx="93">
                  <c:v>2.6054102067856542E-10</c:v>
                </c:pt>
                <c:pt idx="94">
                  <c:v>2.6365121170704242E-10</c:v>
                </c:pt>
                <c:pt idx="95">
                  <c:v>2.6676852858904651E-10</c:v>
                </c:pt>
                <c:pt idx="96">
                  <c:v>2.6989297132457753E-10</c:v>
                </c:pt>
                <c:pt idx="97">
                  <c:v>2.7302453991363574E-10</c:v>
                </c:pt>
                <c:pt idx="98">
                  <c:v>2.7616323435622094E-10</c:v>
                </c:pt>
                <c:pt idx="99">
                  <c:v>2.7930905465233311E-10</c:v>
                </c:pt>
                <c:pt idx="100">
                  <c:v>2.8246200080197243E-10</c:v>
                </c:pt>
                <c:pt idx="101">
                  <c:v>2.8562207280513878E-10</c:v>
                </c:pt>
                <c:pt idx="102">
                  <c:v>2.8878927066183212E-10</c:v>
                </c:pt>
                <c:pt idx="103">
                  <c:v>2.9196359437205254E-10</c:v>
                </c:pt>
                <c:pt idx="104">
                  <c:v>2.9514504393580005E-10</c:v>
                </c:pt>
                <c:pt idx="105">
                  <c:v>2.9833361935307459E-10</c:v>
                </c:pt>
                <c:pt idx="106">
                  <c:v>3.0152932062387612E-10</c:v>
                </c:pt>
                <c:pt idx="107">
                  <c:v>3.0473214774820474E-10</c:v>
                </c:pt>
                <c:pt idx="108">
                  <c:v>3.0794210072606044E-10</c:v>
                </c:pt>
                <c:pt idx="109">
                  <c:v>3.1115917955744313E-10</c:v>
                </c:pt>
                <c:pt idx="110">
                  <c:v>3.1438338424235295E-10</c:v>
                </c:pt>
                <c:pt idx="111">
                  <c:v>3.1761471478078971E-10</c:v>
                </c:pt>
                <c:pt idx="112">
                  <c:v>3.2085317117275355E-10</c:v>
                </c:pt>
                <c:pt idx="113">
                  <c:v>3.2409875341824448E-10</c:v>
                </c:pt>
                <c:pt idx="114">
                  <c:v>3.2735146151726245E-10</c:v>
                </c:pt>
                <c:pt idx="115">
                  <c:v>3.306112954698075E-10</c:v>
                </c:pt>
                <c:pt idx="116">
                  <c:v>3.3387825527587954E-10</c:v>
                </c:pt>
                <c:pt idx="117">
                  <c:v>3.3715234093547867E-10</c:v>
                </c:pt>
                <c:pt idx="118">
                  <c:v>3.4043355244860477E-10</c:v>
                </c:pt>
                <c:pt idx="119">
                  <c:v>3.4372188981525797E-10</c:v>
                </c:pt>
                <c:pt idx="120">
                  <c:v>3.470173530354382E-10</c:v>
                </c:pt>
                <c:pt idx="121">
                  <c:v>3.5031994210914557E-10</c:v>
                </c:pt>
                <c:pt idx="122">
                  <c:v>3.5362965703637992E-10</c:v>
                </c:pt>
                <c:pt idx="123">
                  <c:v>3.5694649781714131E-10</c:v>
                </c:pt>
                <c:pt idx="124">
                  <c:v>3.6027046445142973E-10</c:v>
                </c:pt>
                <c:pt idx="125">
                  <c:v>3.6360155693924524E-10</c:v>
                </c:pt>
                <c:pt idx="126">
                  <c:v>3.6693977528058774E-10</c:v>
                </c:pt>
                <c:pt idx="127">
                  <c:v>3.7028511947545742E-10</c:v>
                </c:pt>
                <c:pt idx="128">
                  <c:v>3.7363758952385404E-10</c:v>
                </c:pt>
                <c:pt idx="129">
                  <c:v>3.7699718542577774E-10</c:v>
                </c:pt>
                <c:pt idx="130">
                  <c:v>3.8036390718122848E-10</c:v>
                </c:pt>
                <c:pt idx="131">
                  <c:v>3.837377547902062E-10</c:v>
                </c:pt>
                <c:pt idx="132">
                  <c:v>3.8711872825271111E-10</c:v>
                </c:pt>
                <c:pt idx="133">
                  <c:v>3.9050682756874291E-10</c:v>
                </c:pt>
                <c:pt idx="134">
                  <c:v>3.9390205273830189E-10</c:v>
                </c:pt>
                <c:pt idx="135">
                  <c:v>3.9730440376138786E-10</c:v>
                </c:pt>
                <c:pt idx="136">
                  <c:v>4.0071388063800091E-10</c:v>
                </c:pt>
                <c:pt idx="137">
                  <c:v>4.0413048336814095E-10</c:v>
                </c:pt>
                <c:pt idx="138">
                  <c:v>4.0755421195180808E-10</c:v>
                </c:pt>
                <c:pt idx="139">
                  <c:v>4.1098506638900224E-10</c:v>
                </c:pt>
                <c:pt idx="140">
                  <c:v>4.1442304667972343E-10</c:v>
                </c:pt>
                <c:pt idx="141">
                  <c:v>4.1786815282397177E-10</c:v>
                </c:pt>
                <c:pt idx="142">
                  <c:v>4.2132038482174703E-10</c:v>
                </c:pt>
                <c:pt idx="143">
                  <c:v>4.2477974267304944E-10</c:v>
                </c:pt>
                <c:pt idx="144">
                  <c:v>4.2824622637787888E-10</c:v>
                </c:pt>
                <c:pt idx="145">
                  <c:v>4.3171983593623535E-10</c:v>
                </c:pt>
                <c:pt idx="146">
                  <c:v>4.3520057134811881E-10</c:v>
                </c:pt>
                <c:pt idx="147">
                  <c:v>4.3868843261352946E-10</c:v>
                </c:pt>
                <c:pt idx="148">
                  <c:v>4.4218341973246699E-10</c:v>
                </c:pt>
                <c:pt idx="149">
                  <c:v>4.4568553270493171E-10</c:v>
                </c:pt>
                <c:pt idx="150">
                  <c:v>4.4919477153092342E-10</c:v>
                </c:pt>
                <c:pt idx="151">
                  <c:v>4.5271113621044216E-10</c:v>
                </c:pt>
                <c:pt idx="152">
                  <c:v>4.5623462674348793E-10</c:v>
                </c:pt>
                <c:pt idx="153">
                  <c:v>4.5976524313006084E-10</c:v>
                </c:pt>
                <c:pt idx="154">
                  <c:v>4.6330298537016069E-10</c:v>
                </c:pt>
                <c:pt idx="155">
                  <c:v>4.6684785346378773E-10</c:v>
                </c:pt>
                <c:pt idx="156">
                  <c:v>4.7039984741094164E-10</c:v>
                </c:pt>
                <c:pt idx="157">
                  <c:v>4.739589672116227E-10</c:v>
                </c:pt>
                <c:pt idx="158">
                  <c:v>4.7752521286583079E-10</c:v>
                </c:pt>
                <c:pt idx="159">
                  <c:v>4.8109858437356591E-10</c:v>
                </c:pt>
                <c:pt idx="160">
                  <c:v>4.8467908173482818E-10</c:v>
                </c:pt>
                <c:pt idx="161">
                  <c:v>4.8826670494961737E-10</c:v>
                </c:pt>
                <c:pt idx="162">
                  <c:v>4.9186145401793361E-10</c:v>
                </c:pt>
                <c:pt idx="163">
                  <c:v>4.9546332893977708E-10</c:v>
                </c:pt>
                <c:pt idx="164">
                  <c:v>4.9907232971514738E-10</c:v>
                </c:pt>
                <c:pt idx="165">
                  <c:v>5.0268845634404493E-10</c:v>
                </c:pt>
                <c:pt idx="166">
                  <c:v>5.063117088264694E-10</c:v>
                </c:pt>
                <c:pt idx="167">
                  <c:v>5.0994208716242092E-10</c:v>
                </c:pt>
                <c:pt idx="168">
                  <c:v>5.1357959135189946E-10</c:v>
                </c:pt>
                <c:pt idx="169">
                  <c:v>5.1722422139490515E-10</c:v>
                </c:pt>
                <c:pt idx="170">
                  <c:v>5.2087597729143777E-10</c:v>
                </c:pt>
                <c:pt idx="171">
                  <c:v>5.2453485904149752E-10</c:v>
                </c:pt>
                <c:pt idx="172">
                  <c:v>5.2820086664508431E-10</c:v>
                </c:pt>
                <c:pt idx="173">
                  <c:v>5.3187400010219804E-10</c:v>
                </c:pt>
                <c:pt idx="174">
                  <c:v>5.35554259412839E-10</c:v>
                </c:pt>
                <c:pt idx="175">
                  <c:v>5.392416445770069E-10</c:v>
                </c:pt>
                <c:pt idx="176">
                  <c:v>5.4293615559470184E-10</c:v>
                </c:pt>
                <c:pt idx="177">
                  <c:v>5.4663779246592391E-10</c:v>
                </c:pt>
                <c:pt idx="178">
                  <c:v>5.5034655519067291E-10</c:v>
                </c:pt>
                <c:pt idx="179">
                  <c:v>5.5406244376894905E-10</c:v>
                </c:pt>
                <c:pt idx="180">
                  <c:v>5.5778545820075234E-10</c:v>
                </c:pt>
                <c:pt idx="181">
                  <c:v>5.6151559848608245E-10</c:v>
                </c:pt>
                <c:pt idx="182">
                  <c:v>5.6525286462493969E-10</c:v>
                </c:pt>
                <c:pt idx="183">
                  <c:v>5.6899725661732398E-10</c:v>
                </c:pt>
                <c:pt idx="184">
                  <c:v>5.727487744632353E-10</c:v>
                </c:pt>
                <c:pt idx="185">
                  <c:v>5.7650741816267376E-10</c:v>
                </c:pt>
                <c:pt idx="186">
                  <c:v>5.8027318771563925E-10</c:v>
                </c:pt>
                <c:pt idx="187">
                  <c:v>5.8404608312213168E-10</c:v>
                </c:pt>
                <c:pt idx="188">
                  <c:v>5.8782610438215134E-10</c:v>
                </c:pt>
                <c:pt idx="189">
                  <c:v>5.9161325149569794E-10</c:v>
                </c:pt>
                <c:pt idx="190">
                  <c:v>5.9540752446277147E-10</c:v>
                </c:pt>
                <c:pt idx="191">
                  <c:v>5.9920892328337225E-10</c:v>
                </c:pt>
                <c:pt idx="192">
                  <c:v>6.0301744795749995E-10</c:v>
                </c:pt>
                <c:pt idx="193">
                  <c:v>6.0683309848515469E-10</c:v>
                </c:pt>
                <c:pt idx="194">
                  <c:v>6.1065587486633668E-10</c:v>
                </c:pt>
                <c:pt idx="195">
                  <c:v>6.1448577710104549E-10</c:v>
                </c:pt>
                <c:pt idx="196">
                  <c:v>6.1832280518928154E-10</c:v>
                </c:pt>
                <c:pt idx="197">
                  <c:v>6.2216695913104443E-10</c:v>
                </c:pt>
                <c:pt idx="198">
                  <c:v>6.2601823892633445E-10</c:v>
                </c:pt>
                <c:pt idx="199">
                  <c:v>6.2987664457515161E-10</c:v>
                </c:pt>
                <c:pt idx="200">
                  <c:v>6.337421760774957E-10</c:v>
                </c:pt>
                <c:pt idx="201">
                  <c:v>6.3761483343336693E-10</c:v>
                </c:pt>
                <c:pt idx="202">
                  <c:v>6.4149461664276519E-10</c:v>
                </c:pt>
                <c:pt idx="203">
                  <c:v>6.453815257056905E-10</c:v>
                </c:pt>
                <c:pt idx="204">
                  <c:v>6.4927556062214273E-10</c:v>
                </c:pt>
                <c:pt idx="205">
                  <c:v>6.531767213921221E-10</c:v>
                </c:pt>
                <c:pt idx="206">
                  <c:v>6.5708500801562851E-10</c:v>
                </c:pt>
                <c:pt idx="207">
                  <c:v>6.6100042049266205E-10</c:v>
                </c:pt>
                <c:pt idx="208">
                  <c:v>6.6492295882322264E-10</c:v>
                </c:pt>
                <c:pt idx="209">
                  <c:v>6.6885262300731015E-10</c:v>
                </c:pt>
                <c:pt idx="210">
                  <c:v>6.727894130449248E-10</c:v>
                </c:pt>
                <c:pt idx="211">
                  <c:v>6.7673332893606638E-10</c:v>
                </c:pt>
                <c:pt idx="212">
                  <c:v>6.8068437068073511E-10</c:v>
                </c:pt>
                <c:pt idx="213">
                  <c:v>6.8464253827893087E-10</c:v>
                </c:pt>
                <c:pt idx="214">
                  <c:v>6.8860783173065366E-10</c:v>
                </c:pt>
                <c:pt idx="215">
                  <c:v>6.9258025103590359E-10</c:v>
                </c:pt>
                <c:pt idx="216">
                  <c:v>6.9655979619468045E-10</c:v>
                </c:pt>
                <c:pt idx="217">
                  <c:v>7.0054646720698435E-10</c:v>
                </c:pt>
                <c:pt idx="218">
                  <c:v>7.0454026407281539E-10</c:v>
                </c:pt>
                <c:pt idx="219">
                  <c:v>7.0854118679217347E-10</c:v>
                </c:pt>
                <c:pt idx="220">
                  <c:v>7.1254923536505857E-10</c:v>
                </c:pt>
                <c:pt idx="221">
                  <c:v>7.1656440979147072E-10</c:v>
                </c:pt>
                <c:pt idx="222">
                  <c:v>7.2058671007141E-10</c:v>
                </c:pt>
                <c:pt idx="223">
                  <c:v>7.2461613620487622E-10</c:v>
                </c:pt>
                <c:pt idx="224">
                  <c:v>7.2865268819186957E-10</c:v>
                </c:pt>
                <c:pt idx="225">
                  <c:v>7.3269636603238986E-10</c:v>
                </c:pt>
                <c:pt idx="226">
                  <c:v>7.3674716972643718E-10</c:v>
                </c:pt>
                <c:pt idx="227">
                  <c:v>7.4080509927401164E-10</c:v>
                </c:pt>
                <c:pt idx="228">
                  <c:v>7.4487015467511324E-10</c:v>
                </c:pt>
                <c:pt idx="229">
                  <c:v>7.4894233592974177E-10</c:v>
                </c:pt>
                <c:pt idx="230">
                  <c:v>7.5302164303789723E-10</c:v>
                </c:pt>
                <c:pt idx="231">
                  <c:v>7.5710807599957983E-10</c:v>
                </c:pt>
                <c:pt idx="232">
                  <c:v>7.6120163481478957E-10</c:v>
                </c:pt>
                <c:pt idx="233">
                  <c:v>7.6530231948352645E-10</c:v>
                </c:pt>
                <c:pt idx="234">
                  <c:v>7.6941013000579026E-10</c:v>
                </c:pt>
                <c:pt idx="235">
                  <c:v>7.73525066381581E-10</c:v>
                </c:pt>
                <c:pt idx="236">
                  <c:v>7.7764712861089878E-10</c:v>
                </c:pt>
                <c:pt idx="237">
                  <c:v>7.817763166937438E-10</c:v>
                </c:pt>
                <c:pt idx="238">
                  <c:v>7.8591263063011575E-10</c:v>
                </c:pt>
                <c:pt idx="239">
                  <c:v>7.9005607042001494E-10</c:v>
                </c:pt>
                <c:pt idx="240">
                  <c:v>7.9420663606344097E-10</c:v>
                </c:pt>
                <c:pt idx="241">
                  <c:v>7.9836432756039392E-10</c:v>
                </c:pt>
                <c:pt idx="242">
                  <c:v>8.0252914491087412E-10</c:v>
                </c:pt>
                <c:pt idx="243">
                  <c:v>8.0670108811488145E-10</c:v>
                </c:pt>
                <c:pt idx="244">
                  <c:v>8.1088015717241582E-10</c:v>
                </c:pt>
                <c:pt idx="245">
                  <c:v>8.1506635208347702E-10</c:v>
                </c:pt>
                <c:pt idx="246">
                  <c:v>8.1925967284806546E-10</c:v>
                </c:pt>
                <c:pt idx="247">
                  <c:v>8.2346011946618073E-10</c:v>
                </c:pt>
                <c:pt idx="248">
                  <c:v>8.2766769193782335E-10</c:v>
                </c:pt>
                <c:pt idx="249">
                  <c:v>8.3188239026299279E-10</c:v>
                </c:pt>
                <c:pt idx="250">
                  <c:v>8.3610421444168948E-10</c:v>
                </c:pt>
                <c:pt idx="251">
                  <c:v>8.4033316447391289E-10</c:v>
                </c:pt>
                <c:pt idx="252">
                  <c:v>8.4456924035966365E-10</c:v>
                </c:pt>
                <c:pt idx="253">
                  <c:v>8.4881244209894134E-10</c:v>
                </c:pt>
                <c:pt idx="254">
                  <c:v>8.5306276969174596E-10</c:v>
                </c:pt>
                <c:pt idx="255">
                  <c:v>8.5732022313807782E-10</c:v>
                </c:pt>
                <c:pt idx="256">
                  <c:v>8.6158480243793682E-10</c:v>
                </c:pt>
                <c:pt idx="257">
                  <c:v>8.6585650759132265E-10</c:v>
                </c:pt>
                <c:pt idx="258">
                  <c:v>8.7013533859823562E-10</c:v>
                </c:pt>
                <c:pt idx="259">
                  <c:v>8.7442129545867552E-10</c:v>
                </c:pt>
                <c:pt idx="260">
                  <c:v>8.7871437817264256E-10</c:v>
                </c:pt>
                <c:pt idx="261">
                  <c:v>8.8301458674013674E-10</c:v>
                </c:pt>
                <c:pt idx="262">
                  <c:v>8.8732192116115775E-10</c:v>
                </c:pt>
                <c:pt idx="263">
                  <c:v>8.91636381435706E-10</c:v>
                </c:pt>
                <c:pt idx="264">
                  <c:v>8.9595796756378138E-10</c:v>
                </c:pt>
                <c:pt idx="265">
                  <c:v>9.002866795453836E-10</c:v>
                </c:pt>
                <c:pt idx="266">
                  <c:v>9.0462251738051285E-10</c:v>
                </c:pt>
                <c:pt idx="267">
                  <c:v>9.0896548106916935E-10</c:v>
                </c:pt>
                <c:pt idx="268">
                  <c:v>9.1331557061135287E-10</c:v>
                </c:pt>
                <c:pt idx="269">
                  <c:v>9.1767278600706323E-10</c:v>
                </c:pt>
                <c:pt idx="270">
                  <c:v>9.2203712725630083E-10</c:v>
                </c:pt>
                <c:pt idx="271">
                  <c:v>9.2640859435906547E-10</c:v>
                </c:pt>
                <c:pt idx="272">
                  <c:v>9.3078718731535703E-10</c:v>
                </c:pt>
                <c:pt idx="273">
                  <c:v>9.3517290612517553E-10</c:v>
                </c:pt>
                <c:pt idx="274">
                  <c:v>9.3956575078852127E-10</c:v>
                </c:pt>
                <c:pt idx="275">
                  <c:v>9.4396572130539415E-10</c:v>
                </c:pt>
                <c:pt idx="276">
                  <c:v>9.4837281767579397E-10</c:v>
                </c:pt>
                <c:pt idx="277">
                  <c:v>9.5278703989972092E-10</c:v>
                </c:pt>
                <c:pt idx="278">
                  <c:v>9.572083879771748E-10</c:v>
                </c:pt>
                <c:pt idx="279">
                  <c:v>9.6163686190815561E-10</c:v>
                </c:pt>
                <c:pt idx="280">
                  <c:v>9.6607246169266377E-10</c:v>
                </c:pt>
                <c:pt idx="281">
                  <c:v>9.7051518733069887E-10</c:v>
                </c:pt>
                <c:pt idx="282">
                  <c:v>9.7496503882226089E-10</c:v>
                </c:pt>
                <c:pt idx="283">
                  <c:v>9.7942201616735026E-10</c:v>
                </c:pt>
                <c:pt idx="284">
                  <c:v>9.8388611936596636E-10</c:v>
                </c:pt>
                <c:pt idx="285">
                  <c:v>9.8835734841810959E-10</c:v>
                </c:pt>
                <c:pt idx="286">
                  <c:v>9.9283570332377996E-10</c:v>
                </c:pt>
                <c:pt idx="287">
                  <c:v>9.9732118408297726E-10</c:v>
                </c:pt>
                <c:pt idx="288">
                  <c:v>1.0018137906957019E-9</c:v>
                </c:pt>
                <c:pt idx="289">
                  <c:v>1.0063135231619533E-9</c:v>
                </c:pt>
                <c:pt idx="290">
                  <c:v>1.0108203814817316E-9</c:v>
                </c:pt>
                <c:pt idx="291">
                  <c:v>1.0153343656550372E-9</c:v>
                </c:pt>
                <c:pt idx="292">
                  <c:v>1.0198554756818696E-9</c:v>
                </c:pt>
                <c:pt idx="293">
                  <c:v>1.0243837115622296E-9</c:v>
                </c:pt>
                <c:pt idx="294">
                  <c:v>1.028919073296116E-9</c:v>
                </c:pt>
                <c:pt idx="295">
                  <c:v>1.03346156088353E-9</c:v>
                </c:pt>
                <c:pt idx="296">
                  <c:v>1.0380111743244707E-9</c:v>
                </c:pt>
                <c:pt idx="297">
                  <c:v>1.0425679136189384E-9</c:v>
                </c:pt>
                <c:pt idx="298">
                  <c:v>1.0471317787669332E-9</c:v>
                </c:pt>
                <c:pt idx="299">
                  <c:v>1.0517027697684553E-9</c:v>
                </c:pt>
                <c:pt idx="300">
                  <c:v>1.0562808866235044E-9</c:v>
                </c:pt>
                <c:pt idx="301">
                  <c:v>1.0608661293320804E-9</c:v>
                </c:pt>
                <c:pt idx="302">
                  <c:v>1.0654584978941835E-9</c:v>
                </c:pt>
                <c:pt idx="303">
                  <c:v>1.0700579923098134E-9</c:v>
                </c:pt>
                <c:pt idx="304">
                  <c:v>1.0746646125789706E-9</c:v>
                </c:pt>
                <c:pt idx="305">
                  <c:v>1.0792783587016552E-9</c:v>
                </c:pt>
                <c:pt idx="306">
                  <c:v>1.0838992306778665E-9</c:v>
                </c:pt>
                <c:pt idx="307">
                  <c:v>1.0885272285076047E-9</c:v>
                </c:pt>
                <c:pt idx="308">
                  <c:v>1.0931623521908701E-9</c:v>
                </c:pt>
                <c:pt idx="309">
                  <c:v>1.0978046017276623E-9</c:v>
                </c:pt>
                <c:pt idx="310">
                  <c:v>1.102453977117982E-9</c:v>
                </c:pt>
                <c:pt idx="311">
                  <c:v>1.1071104783618283E-9</c:v>
                </c:pt>
                <c:pt idx="312">
                  <c:v>1.1117741054592018E-9</c:v>
                </c:pt>
                <c:pt idx="313">
                  <c:v>1.1164448584101025E-9</c:v>
                </c:pt>
                <c:pt idx="314">
                  <c:v>1.1211227372145302E-9</c:v>
                </c:pt>
                <c:pt idx="315">
                  <c:v>1.125807741872485E-9</c:v>
                </c:pt>
                <c:pt idx="316">
                  <c:v>1.1304998723839668E-9</c:v>
                </c:pt>
                <c:pt idx="317">
                  <c:v>1.1351991287489756E-9</c:v>
                </c:pt>
                <c:pt idx="318">
                  <c:v>1.1399055109675115E-9</c:v>
                </c:pt>
                <c:pt idx="319">
                  <c:v>1.1446190190395746E-9</c:v>
                </c:pt>
                <c:pt idx="320">
                  <c:v>1.1493396529651643E-9</c:v>
                </c:pt>
                <c:pt idx="321">
                  <c:v>1.1540674127442813E-9</c:v>
                </c:pt>
                <c:pt idx="322">
                  <c:v>1.1588022983769255E-9</c:v>
                </c:pt>
                <c:pt idx="323">
                  <c:v>1.1635443098630967E-9</c:v>
                </c:pt>
                <c:pt idx="324">
                  <c:v>1.1682934472027944E-9</c:v>
                </c:pt>
                <c:pt idx="325">
                  <c:v>1.1730497103960199E-9</c:v>
                </c:pt>
                <c:pt idx="326">
                  <c:v>1.1778130994427721E-9</c:v>
                </c:pt>
                <c:pt idx="327">
                  <c:v>1.1825836143430512E-9</c:v>
                </c:pt>
                <c:pt idx="328">
                  <c:v>1.1873612550968577E-9</c:v>
                </c:pt>
                <c:pt idx="329">
                  <c:v>1.1921460217041909E-9</c:v>
                </c:pt>
                <c:pt idx="330">
                  <c:v>1.1969379141650515E-9</c:v>
                </c:pt>
                <c:pt idx="331">
                  <c:v>1.2017369324794389E-9</c:v>
                </c:pt>
                <c:pt idx="332">
                  <c:v>1.2065430766473536E-9</c:v>
                </c:pt>
                <c:pt idx="333">
                  <c:v>1.2113563466687951E-9</c:v>
                </c:pt>
                <c:pt idx="334">
                  <c:v>1.216176742543764E-9</c:v>
                </c:pt>
                <c:pt idx="335">
                  <c:v>1.2210042642722596E-9</c:v>
                </c:pt>
                <c:pt idx="336">
                  <c:v>1.2258389118542822E-9</c:v>
                </c:pt>
                <c:pt idx="337">
                  <c:v>1.2306806852898319E-9</c:v>
                </c:pt>
                <c:pt idx="338">
                  <c:v>1.2355295845789087E-9</c:v>
                </c:pt>
                <c:pt idx="339">
                  <c:v>1.2403856097215129E-9</c:v>
                </c:pt>
                <c:pt idx="340">
                  <c:v>1.2452487607176438E-9</c:v>
                </c:pt>
                <c:pt idx="341">
                  <c:v>1.2501190375673016E-9</c:v>
                </c:pt>
                <c:pt idx="342">
                  <c:v>1.2549964402704868E-9</c:v>
                </c:pt>
                <c:pt idx="343">
                  <c:v>1.2598809688271987E-9</c:v>
                </c:pt>
                <c:pt idx="344">
                  <c:v>1.2647726232374379E-9</c:v>
                </c:pt>
                <c:pt idx="345">
                  <c:v>1.2696714035012039E-9</c:v>
                </c:pt>
                <c:pt idx="346">
                  <c:v>1.2745773096184972E-9</c:v>
                </c:pt>
                <c:pt idx="347">
                  <c:v>1.2794903415893175E-9</c:v>
                </c:pt>
                <c:pt idx="348">
                  <c:v>1.2844104994136649E-9</c:v>
                </c:pt>
                <c:pt idx="349">
                  <c:v>1.289337783091539E-9</c:v>
                </c:pt>
                <c:pt idx="350">
                  <c:v>1.2942721926229405E-9</c:v>
                </c:pt>
                <c:pt idx="351">
                  <c:v>1.2992137280078691E-9</c:v>
                </c:pt>
                <c:pt idx="352">
                  <c:v>1.3041623892463246E-9</c:v>
                </c:pt>
                <c:pt idx="353">
                  <c:v>1.3091181763383073E-9</c:v>
                </c:pt>
                <c:pt idx="354">
                  <c:v>1.3140810892838167E-9</c:v>
                </c:pt>
                <c:pt idx="355">
                  <c:v>1.3190511280828536E-9</c:v>
                </c:pt>
                <c:pt idx="356">
                  <c:v>1.3240282927354173E-9</c:v>
                </c:pt>
                <c:pt idx="357">
                  <c:v>1.3290125832415079E-9</c:v>
                </c:pt>
                <c:pt idx="358">
                  <c:v>1.3340039996011258E-9</c:v>
                </c:pt>
                <c:pt idx="359">
                  <c:v>1.3390025418142705E-9</c:v>
                </c:pt>
                <c:pt idx="360">
                  <c:v>1.3440082098809425E-9</c:v>
                </c:pt>
                <c:pt idx="361">
                  <c:v>1.3490210038011413E-9</c:v>
                </c:pt>
                <c:pt idx="362">
                  <c:v>1.3540409235748672E-9</c:v>
                </c:pt>
                <c:pt idx="363">
                  <c:v>1.3590679692021204E-9</c:v>
                </c:pt>
                <c:pt idx="364">
                  <c:v>1.3641021406829004E-9</c:v>
                </c:pt>
                <c:pt idx="365">
                  <c:v>1.3691434380172077E-9</c:v>
                </c:pt>
                <c:pt idx="366">
                  <c:v>1.3741918612050417E-9</c:v>
                </c:pt>
                <c:pt idx="367">
                  <c:v>1.3792474102464031E-9</c:v>
                </c:pt>
                <c:pt idx="368">
                  <c:v>1.3843100851412916E-9</c:v>
                </c:pt>
                <c:pt idx="369">
                  <c:v>1.3893798858897066E-9</c:v>
                </c:pt>
                <c:pt idx="370">
                  <c:v>1.3944568124916492E-9</c:v>
                </c:pt>
                <c:pt idx="371">
                  <c:v>1.3995408649471185E-9</c:v>
                </c:pt>
                <c:pt idx="372">
                  <c:v>1.4046320432561149E-9</c:v>
                </c:pt>
                <c:pt idx="373">
                  <c:v>1.4097303474186385E-9</c:v>
                </c:pt>
                <c:pt idx="374">
                  <c:v>1.4148357774346892E-9</c:v>
                </c:pt>
                <c:pt idx="375">
                  <c:v>1.4199483333042669E-9</c:v>
                </c:pt>
                <c:pt idx="376">
                  <c:v>1.4250680150273717E-9</c:v>
                </c:pt>
                <c:pt idx="377">
                  <c:v>1.430194822604003E-9</c:v>
                </c:pt>
                <c:pt idx="378">
                  <c:v>1.4353287560341621E-9</c:v>
                </c:pt>
                <c:pt idx="379">
                  <c:v>1.4404698153178479E-9</c:v>
                </c:pt>
                <c:pt idx="380">
                  <c:v>1.4456180004550608E-9</c:v>
                </c:pt>
                <c:pt idx="381">
                  <c:v>1.4507733114458005E-9</c:v>
                </c:pt>
                <c:pt idx="382">
                  <c:v>1.4559357482900677E-9</c:v>
                </c:pt>
                <c:pt idx="383">
                  <c:v>1.4611053109878616E-9</c:v>
                </c:pt>
                <c:pt idx="384">
                  <c:v>1.4662819995391825E-9</c:v>
                </c:pt>
                <c:pt idx="385">
                  <c:v>1.4714658139440309E-9</c:v>
                </c:pt>
                <c:pt idx="386">
                  <c:v>1.4766567542024056E-9</c:v>
                </c:pt>
                <c:pt idx="387">
                  <c:v>1.4818548203143079E-9</c:v>
                </c:pt>
                <c:pt idx="388">
                  <c:v>1.4870600122797376E-9</c:v>
                </c:pt>
                <c:pt idx="389">
                  <c:v>1.4922723300986939E-9</c:v>
                </c:pt>
                <c:pt idx="390">
                  <c:v>1.497491773771177E-9</c:v>
                </c:pt>
                <c:pt idx="391">
                  <c:v>1.5027183432971872E-9</c:v>
                </c:pt>
                <c:pt idx="392">
                  <c:v>1.507952038676725E-9</c:v>
                </c:pt>
                <c:pt idx="393">
                  <c:v>1.5131928599097893E-9</c:v>
                </c:pt>
                <c:pt idx="394">
                  <c:v>1.5184408069963809E-9</c:v>
                </c:pt>
                <c:pt idx="395">
                  <c:v>1.5236958799364997E-9</c:v>
                </c:pt>
                <c:pt idx="396">
                  <c:v>1.5289580787301452E-9</c:v>
                </c:pt>
                <c:pt idx="397">
                  <c:v>1.534227403377318E-9</c:v>
                </c:pt>
                <c:pt idx="398">
                  <c:v>1.5395038538780178E-9</c:v>
                </c:pt>
                <c:pt idx="399">
                  <c:v>1.5447874302322443E-9</c:v>
                </c:pt>
                <c:pt idx="400">
                  <c:v>1.5500781324399984E-9</c:v>
                </c:pt>
                <c:pt idx="401">
                  <c:v>1.555375960501279E-9</c:v>
                </c:pt>
                <c:pt idx="402">
                  <c:v>1.5606809144160869E-9</c:v>
                </c:pt>
                <c:pt idx="403">
                  <c:v>1.5659929941844221E-9</c:v>
                </c:pt>
                <c:pt idx="404">
                  <c:v>1.5713121998062839E-9</c:v>
                </c:pt>
                <c:pt idx="405">
                  <c:v>1.576638531281673E-9</c:v>
                </c:pt>
                <c:pt idx="406">
                  <c:v>1.5819719886105891E-9</c:v>
                </c:pt>
                <c:pt idx="407">
                  <c:v>1.5873125717930329E-9</c:v>
                </c:pt>
                <c:pt idx="408">
                  <c:v>1.5926602808290029E-9</c:v>
                </c:pt>
                <c:pt idx="409">
                  <c:v>1.5980151157184997E-9</c:v>
                </c:pt>
                <c:pt idx="410">
                  <c:v>1.6033770764615243E-9</c:v>
                </c:pt>
                <c:pt idx="411">
                  <c:v>1.6087461630580759E-9</c:v>
                </c:pt>
                <c:pt idx="412">
                  <c:v>1.6141223755081539E-9</c:v>
                </c:pt>
                <c:pt idx="413">
                  <c:v>1.6195057138117598E-9</c:v>
                </c:pt>
                <c:pt idx="414">
                  <c:v>1.6248961779688921E-9</c:v>
                </c:pt>
                <c:pt idx="415">
                  <c:v>1.6302937679795518E-9</c:v>
                </c:pt>
                <c:pt idx="416">
                  <c:v>1.6356984838437382E-9</c:v>
                </c:pt>
                <c:pt idx="417">
                  <c:v>1.6411103255614518E-9</c:v>
                </c:pt>
                <c:pt idx="418">
                  <c:v>1.6465292931326931E-9</c:v>
                </c:pt>
                <c:pt idx="419">
                  <c:v>1.6519553865574605E-9</c:v>
                </c:pt>
                <c:pt idx="420">
                  <c:v>1.6573886058357555E-9</c:v>
                </c:pt>
                <c:pt idx="421">
                  <c:v>1.6628289509675772E-9</c:v>
                </c:pt>
                <c:pt idx="422">
                  <c:v>1.6682764219529262E-9</c:v>
                </c:pt>
                <c:pt idx="423">
                  <c:v>1.6737310187918022E-9</c:v>
                </c:pt>
                <c:pt idx="424">
                  <c:v>1.6791927414842049E-9</c:v>
                </c:pt>
                <c:pt idx="425">
                  <c:v>1.6846615900301351E-9</c:v>
                </c:pt>
                <c:pt idx="426">
                  <c:v>1.6901375644295923E-9</c:v>
                </c:pt>
                <c:pt idx="427">
                  <c:v>1.6956206646825766E-9</c:v>
                </c:pt>
                <c:pt idx="428">
                  <c:v>1.7011108907890877E-9</c:v>
                </c:pt>
                <c:pt idx="429">
                  <c:v>1.7066082427491259E-9</c:v>
                </c:pt>
                <c:pt idx="430">
                  <c:v>1.7121127205626912E-9</c:v>
                </c:pt>
                <c:pt idx="431">
                  <c:v>1.7176243242297834E-9</c:v>
                </c:pt>
                <c:pt idx="432">
                  <c:v>1.7231430537504028E-9</c:v>
                </c:pt>
                <c:pt idx="433">
                  <c:v>1.7286689091245496E-9</c:v>
                </c:pt>
                <c:pt idx="434">
                  <c:v>1.7342018903522226E-9</c:v>
                </c:pt>
                <c:pt idx="435">
                  <c:v>1.7397419974334232E-9</c:v>
                </c:pt>
                <c:pt idx="436">
                  <c:v>1.745289230368151E-9</c:v>
                </c:pt>
                <c:pt idx="437">
                  <c:v>1.7508435891564054E-9</c:v>
                </c:pt>
                <c:pt idx="438">
                  <c:v>1.7564050737981872E-9</c:v>
                </c:pt>
                <c:pt idx="439">
                  <c:v>1.7619736842934962E-9</c:v>
                </c:pt>
                <c:pt idx="440">
                  <c:v>1.7675494206423319E-9</c:v>
                </c:pt>
                <c:pt idx="441">
                  <c:v>1.7731322828446947E-9</c:v>
                </c:pt>
                <c:pt idx="442">
                  <c:v>1.7787222709005846E-9</c:v>
                </c:pt>
                <c:pt idx="443">
                  <c:v>1.7843193848100015E-9</c:v>
                </c:pt>
                <c:pt idx="444">
                  <c:v>1.7899236245729453E-9</c:v>
                </c:pt>
                <c:pt idx="445">
                  <c:v>1.7955349901894165E-9</c:v>
                </c:pt>
                <c:pt idx="446">
                  <c:v>1.8011534816594144E-9</c:v>
                </c:pt>
                <c:pt idx="447">
                  <c:v>1.8067790989829398E-9</c:v>
                </c:pt>
                <c:pt idx="448">
                  <c:v>1.8124118421599918E-9</c:v>
                </c:pt>
                <c:pt idx="449">
                  <c:v>1.8180517111905711E-9</c:v>
                </c:pt>
                <c:pt idx="450">
                  <c:v>1.8236987060746771E-9</c:v>
                </c:pt>
                <c:pt idx="451">
                  <c:v>1.8293528268123107E-9</c:v>
                </c:pt>
                <c:pt idx="452">
                  <c:v>1.8350140734034708E-9</c:v>
                </c:pt>
                <c:pt idx="453">
                  <c:v>1.8406824458481583E-9</c:v>
                </c:pt>
                <c:pt idx="454">
                  <c:v>1.846357944146373E-9</c:v>
                </c:pt>
                <c:pt idx="455">
                  <c:v>1.8520405682981144E-9</c:v>
                </c:pt>
                <c:pt idx="456">
                  <c:v>1.8577303183033828E-9</c:v>
                </c:pt>
                <c:pt idx="457">
                  <c:v>1.8634271941621782E-9</c:v>
                </c:pt>
                <c:pt idx="458">
                  <c:v>1.8691311958745013E-9</c:v>
                </c:pt>
                <c:pt idx="459">
                  <c:v>1.874842323440351E-9</c:v>
                </c:pt>
                <c:pt idx="460">
                  <c:v>1.880560576859728E-9</c:v>
                </c:pt>
                <c:pt idx="461">
                  <c:v>1.8862859561326315E-9</c:v>
                </c:pt>
                <c:pt idx="462">
                  <c:v>1.8920184612590624E-9</c:v>
                </c:pt>
                <c:pt idx="463">
                  <c:v>1.8977580922390202E-9</c:v>
                </c:pt>
                <c:pt idx="464">
                  <c:v>1.9035048490725049E-9</c:v>
                </c:pt>
                <c:pt idx="465">
                  <c:v>1.909258731759517E-9</c:v>
                </c:pt>
                <c:pt idx="466">
                  <c:v>1.915019740300056E-9</c:v>
                </c:pt>
                <c:pt idx="467">
                  <c:v>1.9207878746941228E-9</c:v>
                </c:pt>
                <c:pt idx="468">
                  <c:v>1.9265631349417152E-9</c:v>
                </c:pt>
                <c:pt idx="469">
                  <c:v>1.9323455210428354E-9</c:v>
                </c:pt>
                <c:pt idx="470">
                  <c:v>1.938135032997483E-9</c:v>
                </c:pt>
                <c:pt idx="471">
                  <c:v>1.9439316708056571E-9</c:v>
                </c:pt>
                <c:pt idx="472">
                  <c:v>1.9497354344673585E-9</c:v>
                </c:pt>
                <c:pt idx="473">
                  <c:v>1.9555463239825869E-9</c:v>
                </c:pt>
                <c:pt idx="474">
                  <c:v>1.9613643393513422E-9</c:v>
                </c:pt>
                <c:pt idx="475">
                  <c:v>1.9671894805736248E-9</c:v>
                </c:pt>
                <c:pt idx="476">
                  <c:v>1.973021747649434E-9</c:v>
                </c:pt>
                <c:pt idx="477">
                  <c:v>1.9788611405787709E-9</c:v>
                </c:pt>
                <c:pt idx="478">
                  <c:v>1.9847076593616347E-9</c:v>
                </c:pt>
                <c:pt idx="479">
                  <c:v>1.9905613039980255E-9</c:v>
                </c:pt>
                <c:pt idx="480">
                  <c:v>1.9964220744879428E-9</c:v>
                </c:pt>
                <c:pt idx="481">
                  <c:v>2.0022899708313874E-9</c:v>
                </c:pt>
                <c:pt idx="482">
                  <c:v>2.0081649930283594E-9</c:v>
                </c:pt>
                <c:pt idx="483">
                  <c:v>2.0140471410788583E-9</c:v>
                </c:pt>
                <c:pt idx="484">
                  <c:v>2.0199364149828842E-9</c:v>
                </c:pt>
                <c:pt idx="485">
                  <c:v>2.025832814740437E-9</c:v>
                </c:pt>
                <c:pt idx="486">
                  <c:v>2.0317363403515171E-9</c:v>
                </c:pt>
                <c:pt idx="487">
                  <c:v>2.0376469918161242E-9</c:v>
                </c:pt>
                <c:pt idx="488">
                  <c:v>2.0435647691342586E-9</c:v>
                </c:pt>
                <c:pt idx="489">
                  <c:v>2.0494896723059195E-9</c:v>
                </c:pt>
                <c:pt idx="490">
                  <c:v>2.0554217013311078E-9</c:v>
                </c:pt>
                <c:pt idx="491">
                  <c:v>2.061360856209823E-9</c:v>
                </c:pt>
                <c:pt idx="492">
                  <c:v>2.0673071369420655E-9</c:v>
                </c:pt>
                <c:pt idx="493">
                  <c:v>2.0732605435278346E-9</c:v>
                </c:pt>
                <c:pt idx="494">
                  <c:v>2.0792210759671306E-9</c:v>
                </c:pt>
                <c:pt idx="495">
                  <c:v>2.0851887342599548E-9</c:v>
                </c:pt>
                <c:pt idx="496">
                  <c:v>2.091163518406305E-9</c:v>
                </c:pt>
                <c:pt idx="497">
                  <c:v>2.0971454284061827E-9</c:v>
                </c:pt>
                <c:pt idx="498">
                  <c:v>2.1031344642595872E-9</c:v>
                </c:pt>
                <c:pt idx="499">
                  <c:v>2.1091306259665191E-9</c:v>
                </c:pt>
                <c:pt idx="500">
                  <c:v>2.1151339135269775E-9</c:v>
                </c:pt>
                <c:pt idx="501">
                  <c:v>2.1211443269409629E-9</c:v>
                </c:pt>
                <c:pt idx="502">
                  <c:v>2.1271618662084764E-9</c:v>
                </c:pt>
                <c:pt idx="503">
                  <c:v>2.133186531329516E-9</c:v>
                </c:pt>
                <c:pt idx="504">
                  <c:v>2.139218322304083E-9</c:v>
                </c:pt>
                <c:pt idx="505">
                  <c:v>2.1452572391321765E-9</c:v>
                </c:pt>
                <c:pt idx="506">
                  <c:v>2.1513032818137977E-9</c:v>
                </c:pt>
                <c:pt idx="507">
                  <c:v>2.1573564503489459E-9</c:v>
                </c:pt>
                <c:pt idx="508">
                  <c:v>2.163416744737621E-9</c:v>
                </c:pt>
                <c:pt idx="509">
                  <c:v>2.1694841649798227E-9</c:v>
                </c:pt>
                <c:pt idx="510">
                  <c:v>2.1755587110755521E-9</c:v>
                </c:pt>
                <c:pt idx="511">
                  <c:v>2.1816403830248084E-9</c:v>
                </c:pt>
                <c:pt idx="512">
                  <c:v>2.1877291808275916E-9</c:v>
                </c:pt>
                <c:pt idx="513">
                  <c:v>2.1938251044839022E-9</c:v>
                </c:pt>
                <c:pt idx="514">
                  <c:v>2.1999281539937394E-9</c:v>
                </c:pt>
                <c:pt idx="515">
                  <c:v>2.2060383293571038E-9</c:v>
                </c:pt>
                <c:pt idx="516">
                  <c:v>2.2121556305739952E-9</c:v>
                </c:pt>
                <c:pt idx="517">
                  <c:v>2.218280057644414E-9</c:v>
                </c:pt>
                <c:pt idx="518">
                  <c:v>2.2244116105683592E-9</c:v>
                </c:pt>
                <c:pt idx="519">
                  <c:v>2.2305502893458322E-9</c:v>
                </c:pt>
                <c:pt idx="520">
                  <c:v>2.2366960939768318E-9</c:v>
                </c:pt>
                <c:pt idx="521">
                  <c:v>2.2428490244613582E-9</c:v>
                </c:pt>
                <c:pt idx="522">
                  <c:v>2.2490090807994121E-9</c:v>
                </c:pt>
                <c:pt idx="523">
                  <c:v>2.2551762629909928E-9</c:v>
                </c:pt>
                <c:pt idx="524">
                  <c:v>2.2613505710361005E-9</c:v>
                </c:pt>
                <c:pt idx="525">
                  <c:v>2.2675320049347359E-9</c:v>
                </c:pt>
                <c:pt idx="526">
                  <c:v>2.2737205646868979E-9</c:v>
                </c:pt>
                <c:pt idx="527">
                  <c:v>2.2799162502925864E-9</c:v>
                </c:pt>
                <c:pt idx="528">
                  <c:v>2.2861190617518026E-9</c:v>
                </c:pt>
                <c:pt idx="529">
                  <c:v>2.2923289990645458E-9</c:v>
                </c:pt>
                <c:pt idx="530">
                  <c:v>2.2985460622308163E-9</c:v>
                </c:pt>
                <c:pt idx="531">
                  <c:v>2.3047702512506133E-9</c:v>
                </c:pt>
                <c:pt idx="532">
                  <c:v>2.3110015661239377E-9</c:v>
                </c:pt>
                <c:pt idx="533">
                  <c:v>2.3172400068507886E-9</c:v>
                </c:pt>
                <c:pt idx="534">
                  <c:v>2.3234855734311672E-9</c:v>
                </c:pt>
                <c:pt idx="535">
                  <c:v>2.3297382658650724E-9</c:v>
                </c:pt>
                <c:pt idx="536">
                  <c:v>2.3359980841525049E-9</c:v>
                </c:pt>
                <c:pt idx="537">
                  <c:v>2.3422650282934644E-9</c:v>
                </c:pt>
                <c:pt idx="538">
                  <c:v>2.3485390982879507E-9</c:v>
                </c:pt>
                <c:pt idx="539">
                  <c:v>2.3548202941359645E-9</c:v>
                </c:pt>
                <c:pt idx="540">
                  <c:v>2.3611086158375047E-9</c:v>
                </c:pt>
                <c:pt idx="541">
                  <c:v>2.3674040633925727E-9</c:v>
                </c:pt>
                <c:pt idx="542">
                  <c:v>2.3737066368011677E-9</c:v>
                </c:pt>
                <c:pt idx="543">
                  <c:v>2.3800163360632895E-9</c:v>
                </c:pt>
                <c:pt idx="544">
                  <c:v>2.3863331611789383E-9</c:v>
                </c:pt>
                <c:pt idx="545">
                  <c:v>2.3926571121481141E-9</c:v>
                </c:pt>
                <c:pt idx="546">
                  <c:v>2.3989881889708167E-9</c:v>
                </c:pt>
                <c:pt idx="547">
                  <c:v>2.4053263916470467E-9</c:v>
                </c:pt>
                <c:pt idx="548">
                  <c:v>2.4116717201768041E-9</c:v>
                </c:pt>
                <c:pt idx="549">
                  <c:v>2.4180241745600884E-9</c:v>
                </c:pt>
                <c:pt idx="550">
                  <c:v>2.4243837547968992E-9</c:v>
                </c:pt>
                <c:pt idx="551">
                  <c:v>2.4307504608872369E-9</c:v>
                </c:pt>
                <c:pt idx="552">
                  <c:v>2.4371242928311028E-9</c:v>
                </c:pt>
                <c:pt idx="553">
                  <c:v>2.4435052506284948E-9</c:v>
                </c:pt>
                <c:pt idx="554">
                  <c:v>2.4498933342794142E-9</c:v>
                </c:pt>
                <c:pt idx="555">
                  <c:v>2.4562885437838605E-9</c:v>
                </c:pt>
                <c:pt idx="556">
                  <c:v>2.4626908791418337E-9</c:v>
                </c:pt>
                <c:pt idx="557">
                  <c:v>2.4691003403533343E-9</c:v>
                </c:pt>
                <c:pt idx="558">
                  <c:v>2.4755169274183622E-9</c:v>
                </c:pt>
                <c:pt idx="559">
                  <c:v>2.4819406403369162E-9</c:v>
                </c:pt>
                <c:pt idx="560">
                  <c:v>2.4883714791089984E-9</c:v>
                </c:pt>
                <c:pt idx="561">
                  <c:v>2.4948094437346067E-9</c:v>
                </c:pt>
                <c:pt idx="562">
                  <c:v>2.5012545342137423E-9</c:v>
                </c:pt>
                <c:pt idx="563">
                  <c:v>2.5077067505464049E-9</c:v>
                </c:pt>
                <c:pt idx="564">
                  <c:v>2.5141660927325948E-9</c:v>
                </c:pt>
                <c:pt idx="565">
                  <c:v>2.5206325607723121E-9</c:v>
                </c:pt>
                <c:pt idx="566">
                  <c:v>2.5271061546655559E-9</c:v>
                </c:pt>
                <c:pt idx="567">
                  <c:v>2.5335868744123266E-9</c:v>
                </c:pt>
                <c:pt idx="568">
                  <c:v>2.5400747200126247E-9</c:v>
                </c:pt>
                <c:pt idx="569">
                  <c:v>2.5465696914664501E-9</c:v>
                </c:pt>
                <c:pt idx="570">
                  <c:v>2.553071788773802E-9</c:v>
                </c:pt>
                <c:pt idx="571">
                  <c:v>2.5595810119346813E-9</c:v>
                </c:pt>
                <c:pt idx="572">
                  <c:v>2.5660973609490871E-9</c:v>
                </c:pt>
                <c:pt idx="573">
                  <c:v>2.5726208358170202E-9</c:v>
                </c:pt>
                <c:pt idx="574">
                  <c:v>2.5791514365384807E-9</c:v>
                </c:pt>
                <c:pt idx="575">
                  <c:v>2.5856891631134681E-9</c:v>
                </c:pt>
                <c:pt idx="576">
                  <c:v>2.5922340155419824E-9</c:v>
                </c:pt>
                <c:pt idx="577">
                  <c:v>2.5987859938240237E-9</c:v>
                </c:pt>
                <c:pt idx="578">
                  <c:v>2.6053450979595919E-9</c:v>
                </c:pt>
                <c:pt idx="579">
                  <c:v>2.6119113279486879E-9</c:v>
                </c:pt>
                <c:pt idx="580">
                  <c:v>2.6184846837913104E-9</c:v>
                </c:pt>
                <c:pt idx="581">
                  <c:v>2.6250651654874602E-9</c:v>
                </c:pt>
                <c:pt idx="582">
                  <c:v>2.6316527730371366E-9</c:v>
                </c:pt>
                <c:pt idx="583">
                  <c:v>2.6382475064403403E-9</c:v>
                </c:pt>
                <c:pt idx="584">
                  <c:v>2.6448493656970713E-9</c:v>
                </c:pt>
                <c:pt idx="585">
                  <c:v>2.6514583508073289E-9</c:v>
                </c:pt>
                <c:pt idx="586">
                  <c:v>2.6580744617711142E-9</c:v>
                </c:pt>
                <c:pt idx="587">
                  <c:v>2.664697698588426E-9</c:v>
                </c:pt>
                <c:pt idx="588">
                  <c:v>2.6713280612592644E-9</c:v>
                </c:pt>
                <c:pt idx="589">
                  <c:v>2.6779655497836309E-9</c:v>
                </c:pt>
                <c:pt idx="590">
                  <c:v>2.6846101641615239E-9</c:v>
                </c:pt>
                <c:pt idx="591">
                  <c:v>2.6912619043929439E-9</c:v>
                </c:pt>
                <c:pt idx="592">
                  <c:v>2.6979207704778912E-9</c:v>
                </c:pt>
                <c:pt idx="593">
                  <c:v>2.7045867624163651E-9</c:v>
                </c:pt>
                <c:pt idx="594">
                  <c:v>2.7112598802083671E-9</c:v>
                </c:pt>
                <c:pt idx="595">
                  <c:v>2.7179401238538952E-9</c:v>
                </c:pt>
                <c:pt idx="596">
                  <c:v>2.7246274933529503E-9</c:v>
                </c:pt>
                <c:pt idx="597">
                  <c:v>2.7313219887055327E-9</c:v>
                </c:pt>
                <c:pt idx="598">
                  <c:v>2.738023609911642E-9</c:v>
                </c:pt>
                <c:pt idx="599">
                  <c:v>2.7447323569712787E-9</c:v>
                </c:pt>
                <c:pt idx="600">
                  <c:v>2.7514482298844423E-9</c:v>
                </c:pt>
                <c:pt idx="601">
                  <c:v>2.7581712286511328E-9</c:v>
                </c:pt>
                <c:pt idx="602">
                  <c:v>2.7649013532713507E-9</c:v>
                </c:pt>
                <c:pt idx="603">
                  <c:v>2.7716386037450951E-9</c:v>
                </c:pt>
                <c:pt idx="604">
                  <c:v>2.7783829800723668E-9</c:v>
                </c:pt>
                <c:pt idx="605">
                  <c:v>2.7851344822531655E-9</c:v>
                </c:pt>
                <c:pt idx="606">
                  <c:v>2.791893110287492E-9</c:v>
                </c:pt>
                <c:pt idx="607">
                  <c:v>2.7986588641753445E-9</c:v>
                </c:pt>
                <c:pt idx="608">
                  <c:v>2.8054317439167244E-9</c:v>
                </c:pt>
                <c:pt idx="609">
                  <c:v>2.8122117495116316E-9</c:v>
                </c:pt>
                <c:pt idx="610">
                  <c:v>2.818998880960065E-9</c:v>
                </c:pt>
                <c:pt idx="611">
                  <c:v>2.8257931382620269E-9</c:v>
                </c:pt>
                <c:pt idx="612">
                  <c:v>2.8325945214175145E-9</c:v>
                </c:pt>
                <c:pt idx="613">
                  <c:v>2.8394030304265291E-9</c:v>
                </c:pt>
                <c:pt idx="614">
                  <c:v>2.8462186652890718E-9</c:v>
                </c:pt>
                <c:pt idx="615">
                  <c:v>2.8530414260051414E-9</c:v>
                </c:pt>
                <c:pt idx="616">
                  <c:v>2.8598713125747376E-9</c:v>
                </c:pt>
                <c:pt idx="617">
                  <c:v>2.8667083249978607E-9</c:v>
                </c:pt>
                <c:pt idx="618">
                  <c:v>2.8735524632745116E-9</c:v>
                </c:pt>
                <c:pt idx="619">
                  <c:v>2.880403727404689E-9</c:v>
                </c:pt>
                <c:pt idx="620">
                  <c:v>2.8872621173883937E-9</c:v>
                </c:pt>
                <c:pt idx="621">
                  <c:v>2.8941276332256253E-9</c:v>
                </c:pt>
                <c:pt idx="622">
                  <c:v>2.9010002749163831E-9</c:v>
                </c:pt>
                <c:pt idx="623">
                  <c:v>2.907880042460669E-9</c:v>
                </c:pt>
                <c:pt idx="624">
                  <c:v>2.9147669358584819E-9</c:v>
                </c:pt>
                <c:pt idx="625">
                  <c:v>2.9216609551098217E-9</c:v>
                </c:pt>
                <c:pt idx="626">
                  <c:v>2.9285621002146888E-9</c:v>
                </c:pt>
                <c:pt idx="627">
                  <c:v>2.9354703711730821E-9</c:v>
                </c:pt>
                <c:pt idx="628">
                  <c:v>2.9423857679850031E-9</c:v>
                </c:pt>
                <c:pt idx="629">
                  <c:v>2.9493082906504515E-9</c:v>
                </c:pt>
                <c:pt idx="630">
                  <c:v>2.9562379391694263E-9</c:v>
                </c:pt>
                <c:pt idx="631">
                  <c:v>2.9631747135419281E-9</c:v>
                </c:pt>
                <c:pt idx="632">
                  <c:v>2.9701186137679569E-9</c:v>
                </c:pt>
                <c:pt idx="633">
                  <c:v>2.9770696398475134E-9</c:v>
                </c:pt>
                <c:pt idx="634">
                  <c:v>2.9840277917805964E-9</c:v>
                </c:pt>
                <c:pt idx="635">
                  <c:v>2.9909930695672068E-9</c:v>
                </c:pt>
                <c:pt idx="636">
                  <c:v>2.997965473207344E-9</c:v>
                </c:pt>
                <c:pt idx="637">
                  <c:v>3.0049450027010087E-9</c:v>
                </c:pt>
                <c:pt idx="638">
                  <c:v>3.0119316580481998E-9</c:v>
                </c:pt>
                <c:pt idx="639">
                  <c:v>3.0189254392489179E-9</c:v>
                </c:pt>
                <c:pt idx="640">
                  <c:v>3.0259263463031642E-9</c:v>
                </c:pt>
                <c:pt idx="641">
                  <c:v>3.0329343792109361E-9</c:v>
                </c:pt>
                <c:pt idx="642">
                  <c:v>3.0399495379722359E-9</c:v>
                </c:pt>
                <c:pt idx="643">
                  <c:v>3.0469718225870625E-9</c:v>
                </c:pt>
                <c:pt idx="644">
                  <c:v>3.0540012330554157E-9</c:v>
                </c:pt>
                <c:pt idx="645">
                  <c:v>3.061037769377297E-9</c:v>
                </c:pt>
                <c:pt idx="646">
                  <c:v>3.0680814315527048E-9</c:v>
                </c:pt>
                <c:pt idx="647">
                  <c:v>3.07513221958164E-9</c:v>
                </c:pt>
                <c:pt idx="648">
                  <c:v>3.0821901334641013E-9</c:v>
                </c:pt>
                <c:pt idx="649">
                  <c:v>3.0892551732000908E-9</c:v>
                </c:pt>
                <c:pt idx="650">
                  <c:v>3.0963273387896068E-9</c:v>
                </c:pt>
                <c:pt idx="651">
                  <c:v>3.1034066302326497E-9</c:v>
                </c:pt>
                <c:pt idx="652">
                  <c:v>3.1104930475292192E-9</c:v>
                </c:pt>
                <c:pt idx="653">
                  <c:v>3.117586590679316E-9</c:v>
                </c:pt>
                <c:pt idx="654">
                  <c:v>3.1246872596829409E-9</c:v>
                </c:pt>
                <c:pt idx="655">
                  <c:v>3.1317950545400924E-9</c:v>
                </c:pt>
                <c:pt idx="656">
                  <c:v>3.1389099752507704E-9</c:v>
                </c:pt>
                <c:pt idx="657">
                  <c:v>3.1460320218149758E-9</c:v>
                </c:pt>
                <c:pt idx="658">
                  <c:v>3.153161194232708E-9</c:v>
                </c:pt>
                <c:pt idx="659">
                  <c:v>3.1602974925039677E-9</c:v>
                </c:pt>
                <c:pt idx="660">
                  <c:v>3.1674409166287542E-9</c:v>
                </c:pt>
                <c:pt idx="661">
                  <c:v>3.1745914666070673E-9</c:v>
                </c:pt>
                <c:pt idx="662">
                  <c:v>3.1817491424389077E-9</c:v>
                </c:pt>
                <c:pt idx="663">
                  <c:v>3.1889139441242755E-9</c:v>
                </c:pt>
                <c:pt idx="664">
                  <c:v>3.1960858716631702E-9</c:v>
                </c:pt>
                <c:pt idx="665">
                  <c:v>3.2032649250555922E-9</c:v>
                </c:pt>
                <c:pt idx="666">
                  <c:v>3.2104511043015403E-9</c:v>
                </c:pt>
                <c:pt idx="667">
                  <c:v>3.2176444094010167E-9</c:v>
                </c:pt>
                <c:pt idx="668">
                  <c:v>3.2248448403540187E-9</c:v>
                </c:pt>
                <c:pt idx="669">
                  <c:v>3.2320523971605489E-9</c:v>
                </c:pt>
                <c:pt idx="670">
                  <c:v>3.2392670798206064E-9</c:v>
                </c:pt>
                <c:pt idx="671">
                  <c:v>3.24648888833419E-9</c:v>
                </c:pt>
                <c:pt idx="672">
                  <c:v>3.253717822701301E-9</c:v>
                </c:pt>
                <c:pt idx="673">
                  <c:v>3.2609538829219389E-9</c:v>
                </c:pt>
                <c:pt idx="674">
                  <c:v>3.2681970689961046E-9</c:v>
                </c:pt>
                <c:pt idx="675">
                  <c:v>3.2754473809237964E-9</c:v>
                </c:pt>
                <c:pt idx="676">
                  <c:v>3.2827048187050155E-9</c:v>
                </c:pt>
                <c:pt idx="677">
                  <c:v>3.2899693823397623E-9</c:v>
                </c:pt>
                <c:pt idx="678">
                  <c:v>3.2972410718280349E-9</c:v>
                </c:pt>
                <c:pt idx="679">
                  <c:v>3.3045198871698357E-9</c:v>
                </c:pt>
                <c:pt idx="680">
                  <c:v>3.3118058283651633E-9</c:v>
                </c:pt>
                <c:pt idx="681">
                  <c:v>3.3190988954140184E-9</c:v>
                </c:pt>
                <c:pt idx="682">
                  <c:v>3.3263990883163991E-9</c:v>
                </c:pt>
                <c:pt idx="683">
                  <c:v>3.3337064070723071E-9</c:v>
                </c:pt>
                <c:pt idx="684">
                  <c:v>3.3410208516817438E-9</c:v>
                </c:pt>
                <c:pt idx="685">
                  <c:v>3.3483424221447057E-9</c:v>
                </c:pt>
                <c:pt idx="686">
                  <c:v>3.3556711184611958E-9</c:v>
                </c:pt>
                <c:pt idx="687">
                  <c:v>3.3630069406312124E-9</c:v>
                </c:pt>
                <c:pt idx="688">
                  <c:v>3.3703498886547568E-9</c:v>
                </c:pt>
                <c:pt idx="689">
                  <c:v>3.3776999625318272E-9</c:v>
                </c:pt>
                <c:pt idx="690">
                  <c:v>3.3850571622624251E-9</c:v>
                </c:pt>
                <c:pt idx="691">
                  <c:v>3.3924214878465498E-9</c:v>
                </c:pt>
                <c:pt idx="692">
                  <c:v>3.3997929392842019E-9</c:v>
                </c:pt>
                <c:pt idx="693">
                  <c:v>3.4071715165753814E-9</c:v>
                </c:pt>
                <c:pt idx="694">
                  <c:v>3.4145572197200877E-9</c:v>
                </c:pt>
                <c:pt idx="695">
                  <c:v>3.4219500487183202E-9</c:v>
                </c:pt>
                <c:pt idx="696">
                  <c:v>3.4293500035700813E-9</c:v>
                </c:pt>
                <c:pt idx="697">
                  <c:v>3.4367570842753676E-9</c:v>
                </c:pt>
                <c:pt idx="698">
                  <c:v>3.4441712908341821E-9</c:v>
                </c:pt>
                <c:pt idx="699">
                  <c:v>3.4515926232465232E-9</c:v>
                </c:pt>
                <c:pt idx="700">
                  <c:v>3.4590210815123924E-9</c:v>
                </c:pt>
                <c:pt idx="701">
                  <c:v>3.4664566656317877E-9</c:v>
                </c:pt>
                <c:pt idx="702">
                  <c:v>3.4738993756047095E-9</c:v>
                </c:pt>
                <c:pt idx="703">
                  <c:v>3.4813492114311591E-9</c:v>
                </c:pt>
                <c:pt idx="704">
                  <c:v>3.4888061731111365E-9</c:v>
                </c:pt>
                <c:pt idx="705">
                  <c:v>3.4962702606446399E-9</c:v>
                </c:pt>
                <c:pt idx="706">
                  <c:v>3.5037414740316703E-9</c:v>
                </c:pt>
                <c:pt idx="707">
                  <c:v>3.5112198132722285E-9</c:v>
                </c:pt>
                <c:pt idx="708">
                  <c:v>3.5187052783663127E-9</c:v>
                </c:pt>
                <c:pt idx="709">
                  <c:v>3.5261978693139247E-9</c:v>
                </c:pt>
                <c:pt idx="710">
                  <c:v>3.5336975861150637E-9</c:v>
                </c:pt>
                <c:pt idx="711">
                  <c:v>3.5412044287697295E-9</c:v>
                </c:pt>
                <c:pt idx="712">
                  <c:v>3.5487183972779223E-9</c:v>
                </c:pt>
                <c:pt idx="713">
                  <c:v>3.5562394916396429E-9</c:v>
                </c:pt>
                <c:pt idx="714">
                  <c:v>3.5637677118548896E-9</c:v>
                </c:pt>
                <c:pt idx="715">
                  <c:v>3.571303057923664E-9</c:v>
                </c:pt>
                <c:pt idx="716">
                  <c:v>3.5788455298459654E-9</c:v>
                </c:pt>
                <c:pt idx="717">
                  <c:v>3.5863951276217937E-9</c:v>
                </c:pt>
                <c:pt idx="718">
                  <c:v>3.5939518512511489E-9</c:v>
                </c:pt>
                <c:pt idx="719">
                  <c:v>3.601515700734031E-9</c:v>
                </c:pt>
                <c:pt idx="720">
                  <c:v>3.6090866760704401E-9</c:v>
                </c:pt>
                <c:pt idx="721">
                  <c:v>3.616664777260377E-9</c:v>
                </c:pt>
                <c:pt idx="722">
                  <c:v>3.6242500043038399E-9</c:v>
                </c:pt>
                <c:pt idx="723">
                  <c:v>3.6318423572008306E-9</c:v>
                </c:pt>
                <c:pt idx="724">
                  <c:v>3.6394418359513487E-9</c:v>
                </c:pt>
                <c:pt idx="725">
                  <c:v>3.6470484405553924E-9</c:v>
                </c:pt>
                <c:pt idx="726">
                  <c:v>3.6546621710129648E-9</c:v>
                </c:pt>
                <c:pt idx="727">
                  <c:v>3.6622830273240632E-9</c:v>
                </c:pt>
                <c:pt idx="728">
                  <c:v>3.6699110094886886E-9</c:v>
                </c:pt>
                <c:pt idx="729">
                  <c:v>3.6775461175068421E-9</c:v>
                </c:pt>
                <c:pt idx="730">
                  <c:v>3.6851883513785218E-9</c:v>
                </c:pt>
                <c:pt idx="731">
                  <c:v>3.6928377111037284E-9</c:v>
                </c:pt>
                <c:pt idx="732">
                  <c:v>3.7004941966824623E-9</c:v>
                </c:pt>
                <c:pt idx="733">
                  <c:v>3.7081578081147231E-9</c:v>
                </c:pt>
                <c:pt idx="734">
                  <c:v>3.7158285454005118E-9</c:v>
                </c:pt>
                <c:pt idx="735">
                  <c:v>3.7235064085398265E-9</c:v>
                </c:pt>
                <c:pt idx="736">
                  <c:v>3.7311913975326686E-9</c:v>
                </c:pt>
                <c:pt idx="737">
                  <c:v>3.738883512379038E-9</c:v>
                </c:pt>
                <c:pt idx="738">
                  <c:v>3.7465827530789339E-9</c:v>
                </c:pt>
                <c:pt idx="739">
                  <c:v>3.7542891196323572E-9</c:v>
                </c:pt>
                <c:pt idx="740">
                  <c:v>3.7620026120393078E-9</c:v>
                </c:pt>
                <c:pt idx="741">
                  <c:v>3.7697232302997849E-9</c:v>
                </c:pt>
                <c:pt idx="742">
                  <c:v>3.7774509744137894E-9</c:v>
                </c:pt>
                <c:pt idx="743">
                  <c:v>3.7851858443813213E-9</c:v>
                </c:pt>
                <c:pt idx="744">
                  <c:v>3.7929278402023804E-9</c:v>
                </c:pt>
                <c:pt idx="745">
                  <c:v>3.8006769618769653E-9</c:v>
                </c:pt>
                <c:pt idx="746">
                  <c:v>3.8084332094050783E-9</c:v>
                </c:pt>
                <c:pt idx="747">
                  <c:v>3.8161965827867171E-9</c:v>
                </c:pt>
                <c:pt idx="748">
                  <c:v>3.823967082021884E-9</c:v>
                </c:pt>
                <c:pt idx="749">
                  <c:v>3.8317447071105782E-9</c:v>
                </c:pt>
                <c:pt idx="750">
                  <c:v>3.839529458052799E-9</c:v>
                </c:pt>
                <c:pt idx="751">
                  <c:v>3.8473213348485463E-9</c:v>
                </c:pt>
                <c:pt idx="752">
                  <c:v>3.8551203374978217E-9</c:v>
                </c:pt>
                <c:pt idx="753">
                  <c:v>3.8629264660006237E-9</c:v>
                </c:pt>
                <c:pt idx="754">
                  <c:v>3.8707397203569531E-9</c:v>
                </c:pt>
                <c:pt idx="755">
                  <c:v>3.8785601005668089E-9</c:v>
                </c:pt>
                <c:pt idx="756">
                  <c:v>3.8863876066301921E-9</c:v>
                </c:pt>
                <c:pt idx="757">
                  <c:v>3.8942222385471018E-9</c:v>
                </c:pt>
                <c:pt idx="758">
                  <c:v>3.9020639963175397E-9</c:v>
                </c:pt>
                <c:pt idx="759">
                  <c:v>3.9099128799415032E-9</c:v>
                </c:pt>
                <c:pt idx="760">
                  <c:v>3.9177688894189958E-9</c:v>
                </c:pt>
                <c:pt idx="761">
                  <c:v>3.9256320247500132E-9</c:v>
                </c:pt>
                <c:pt idx="762">
                  <c:v>3.9335022859345588E-9</c:v>
                </c:pt>
                <c:pt idx="763">
                  <c:v>3.941379672972631E-9</c:v>
                </c:pt>
                <c:pt idx="764">
                  <c:v>3.9492641858642313E-9</c:v>
                </c:pt>
                <c:pt idx="765">
                  <c:v>3.9571558246093573E-9</c:v>
                </c:pt>
                <c:pt idx="766">
                  <c:v>3.9650545892080114E-9</c:v>
                </c:pt>
                <c:pt idx="767">
                  <c:v>3.9729604796601913E-9</c:v>
                </c:pt>
                <c:pt idx="768">
                  <c:v>3.9808734959658993E-9</c:v>
                </c:pt>
                <c:pt idx="769">
                  <c:v>3.9887936381251338E-9</c:v>
                </c:pt>
                <c:pt idx="770">
                  <c:v>3.9967209061378957E-9</c:v>
                </c:pt>
                <c:pt idx="771">
                  <c:v>4.0046553000041858E-9</c:v>
                </c:pt>
                <c:pt idx="772">
                  <c:v>4.0125968197240007E-9</c:v>
                </c:pt>
                <c:pt idx="773">
                  <c:v>4.020545465297343E-9</c:v>
                </c:pt>
                <c:pt idx="774">
                  <c:v>4.0285012367242126E-9</c:v>
                </c:pt>
                <c:pt idx="775">
                  <c:v>4.0364641340046112E-9</c:v>
                </c:pt>
                <c:pt idx="776">
                  <c:v>4.0444341571385347E-9</c:v>
                </c:pt>
                <c:pt idx="777">
                  <c:v>4.0524113061259855E-9</c:v>
                </c:pt>
                <c:pt idx="778">
                  <c:v>4.0603955809669637E-9</c:v>
                </c:pt>
                <c:pt idx="779">
                  <c:v>4.0683869816614692E-9</c:v>
                </c:pt>
                <c:pt idx="780">
                  <c:v>4.0763855082095013E-9</c:v>
                </c:pt>
                <c:pt idx="781">
                  <c:v>4.0843911606110606E-9</c:v>
                </c:pt>
                <c:pt idx="782">
                  <c:v>4.0924039388661474E-9</c:v>
                </c:pt>
                <c:pt idx="783">
                  <c:v>4.1004238429747598E-9</c:v>
                </c:pt>
                <c:pt idx="784">
                  <c:v>4.1084508729369012E-9</c:v>
                </c:pt>
                <c:pt idx="785">
                  <c:v>4.1164850287525675E-9</c:v>
                </c:pt>
                <c:pt idx="786">
                  <c:v>4.1245263104217636E-9</c:v>
                </c:pt>
                <c:pt idx="787">
                  <c:v>4.1325747179444854E-9</c:v>
                </c:pt>
                <c:pt idx="788">
                  <c:v>4.1406302513207329E-9</c:v>
                </c:pt>
                <c:pt idx="789">
                  <c:v>4.1486929105505094E-9</c:v>
                </c:pt>
                <c:pt idx="790">
                  <c:v>4.1567626956338124E-9</c:v>
                </c:pt>
                <c:pt idx="791">
                  <c:v>4.1648396065706419E-9</c:v>
                </c:pt>
                <c:pt idx="792">
                  <c:v>4.1729236433609988E-9</c:v>
                </c:pt>
                <c:pt idx="793">
                  <c:v>4.1810148060048822E-9</c:v>
                </c:pt>
                <c:pt idx="794">
                  <c:v>4.1891130945022929E-9</c:v>
                </c:pt>
                <c:pt idx="795">
                  <c:v>4.197218508853231E-9</c:v>
                </c:pt>
                <c:pt idx="796">
                  <c:v>4.2053310490576973E-9</c:v>
                </c:pt>
                <c:pt idx="797">
                  <c:v>4.2134507151156884E-9</c:v>
                </c:pt>
                <c:pt idx="798">
                  <c:v>4.2215775070272077E-9</c:v>
                </c:pt>
                <c:pt idx="799">
                  <c:v>4.2297114247922543E-9</c:v>
                </c:pt>
                <c:pt idx="800">
                  <c:v>4.2378524684108275E-9</c:v>
                </c:pt>
                <c:pt idx="801">
                  <c:v>4.246000637882928E-9</c:v>
                </c:pt>
                <c:pt idx="802">
                  <c:v>4.254155933208555E-9</c:v>
                </c:pt>
                <c:pt idx="803">
                  <c:v>4.2623183543877094E-9</c:v>
                </c:pt>
                <c:pt idx="804">
                  <c:v>4.2704879014203911E-9</c:v>
                </c:pt>
                <c:pt idx="805">
                  <c:v>4.2786645743065985E-9</c:v>
                </c:pt>
                <c:pt idx="806">
                  <c:v>4.2868483730463357E-9</c:v>
                </c:pt>
                <c:pt idx="807">
                  <c:v>4.295039297639597E-9</c:v>
                </c:pt>
                <c:pt idx="808">
                  <c:v>4.3032373480863872E-9</c:v>
                </c:pt>
                <c:pt idx="809">
                  <c:v>4.311442524386704E-9</c:v>
                </c:pt>
                <c:pt idx="810">
                  <c:v>4.3196548265405473E-9</c:v>
                </c:pt>
                <c:pt idx="811">
                  <c:v>4.327874254547918E-9</c:v>
                </c:pt>
                <c:pt idx="812">
                  <c:v>4.336100808408816E-9</c:v>
                </c:pt>
                <c:pt idx="813">
                  <c:v>4.3443344881232405E-9</c:v>
                </c:pt>
                <c:pt idx="814">
                  <c:v>4.3525752936911932E-9</c:v>
                </c:pt>
                <c:pt idx="815">
                  <c:v>4.3608232251126724E-9</c:v>
                </c:pt>
                <c:pt idx="816">
                  <c:v>4.3690782823876781E-9</c:v>
                </c:pt>
                <c:pt idx="817">
                  <c:v>4.3773404655162112E-9</c:v>
                </c:pt>
                <c:pt idx="818">
                  <c:v>4.3856097744982716E-9</c:v>
                </c:pt>
                <c:pt idx="819">
                  <c:v>4.3938862093338577E-9</c:v>
                </c:pt>
                <c:pt idx="820">
                  <c:v>4.4021697700229728E-9</c:v>
                </c:pt>
                <c:pt idx="821">
                  <c:v>4.4104604565656144E-9</c:v>
                </c:pt>
                <c:pt idx="822">
                  <c:v>4.4187582689617826E-9</c:v>
                </c:pt>
                <c:pt idx="823">
                  <c:v>4.4270632072114772E-9</c:v>
                </c:pt>
                <c:pt idx="824">
                  <c:v>4.4353752713147009E-9</c:v>
                </c:pt>
                <c:pt idx="825">
                  <c:v>4.4436944612714494E-9</c:v>
                </c:pt>
                <c:pt idx="826">
                  <c:v>4.4520207770817261E-9</c:v>
                </c:pt>
                <c:pt idx="827">
                  <c:v>4.4603542187455285E-9</c:v>
                </c:pt>
                <c:pt idx="828">
                  <c:v>4.4686947862628607E-9</c:v>
                </c:pt>
                <c:pt idx="829">
                  <c:v>4.4770424796337178E-9</c:v>
                </c:pt>
                <c:pt idx="830">
                  <c:v>4.485397298858103E-9</c:v>
                </c:pt>
                <c:pt idx="831">
                  <c:v>4.493759243936014E-9</c:v>
                </c:pt>
                <c:pt idx="832">
                  <c:v>4.5021283148674531E-9</c:v>
                </c:pt>
                <c:pt idx="833">
                  <c:v>4.5105045116524195E-9</c:v>
                </c:pt>
                <c:pt idx="834">
                  <c:v>4.5188878342909125E-9</c:v>
                </c:pt>
                <c:pt idx="835">
                  <c:v>4.5272782827829312E-9</c:v>
                </c:pt>
                <c:pt idx="836">
                  <c:v>4.5356758571284797E-9</c:v>
                </c:pt>
                <c:pt idx="837">
                  <c:v>4.544080557327553E-9</c:v>
                </c:pt>
                <c:pt idx="838">
                  <c:v>4.5524923833801538E-9</c:v>
                </c:pt>
                <c:pt idx="839">
                  <c:v>4.5609113352862818E-9</c:v>
                </c:pt>
                <c:pt idx="840">
                  <c:v>4.5693374130459372E-9</c:v>
                </c:pt>
                <c:pt idx="841">
                  <c:v>4.5777706166591199E-9</c:v>
                </c:pt>
                <c:pt idx="842">
                  <c:v>4.5862109461258292E-9</c:v>
                </c:pt>
                <c:pt idx="843">
                  <c:v>4.5946584014460642E-9</c:v>
                </c:pt>
                <c:pt idx="844">
                  <c:v>4.6031129826198289E-9</c:v>
                </c:pt>
                <c:pt idx="845">
                  <c:v>4.6115746896471186E-9</c:v>
                </c:pt>
                <c:pt idx="846">
                  <c:v>4.6200435225279372E-9</c:v>
                </c:pt>
                <c:pt idx="847">
                  <c:v>4.6285194812622807E-9</c:v>
                </c:pt>
                <c:pt idx="848">
                  <c:v>4.6370025658501524E-9</c:v>
                </c:pt>
                <c:pt idx="849">
                  <c:v>4.6454927762915514E-9</c:v>
                </c:pt>
                <c:pt idx="850">
                  <c:v>4.653990112586477E-9</c:v>
                </c:pt>
                <c:pt idx="851">
                  <c:v>4.6624945747349299E-9</c:v>
                </c:pt>
                <c:pt idx="852">
                  <c:v>4.6710061627369101E-9</c:v>
                </c:pt>
                <c:pt idx="853">
                  <c:v>4.6795248765924169E-9</c:v>
                </c:pt>
                <c:pt idx="854">
                  <c:v>4.6880507163014501E-9</c:v>
                </c:pt>
                <c:pt idx="855">
                  <c:v>4.6965836818640116E-9</c:v>
                </c:pt>
                <c:pt idx="856">
                  <c:v>4.7051237732800995E-9</c:v>
                </c:pt>
                <c:pt idx="857">
                  <c:v>4.713670990549714E-9</c:v>
                </c:pt>
                <c:pt idx="858">
                  <c:v>4.7222253336728559E-9</c:v>
                </c:pt>
                <c:pt idx="859">
                  <c:v>4.730786802649525E-9</c:v>
                </c:pt>
                <c:pt idx="860">
                  <c:v>4.7393553974797215E-9</c:v>
                </c:pt>
                <c:pt idx="861">
                  <c:v>4.7479311181634438E-9</c:v>
                </c:pt>
                <c:pt idx="862">
                  <c:v>4.7565139647006958E-9</c:v>
                </c:pt>
                <c:pt idx="863">
                  <c:v>4.7651039370914727E-9</c:v>
                </c:pt>
                <c:pt idx="864">
                  <c:v>4.7737010353357761E-9</c:v>
                </c:pt>
                <c:pt idx="865">
                  <c:v>4.7823052594336077E-9</c:v>
                </c:pt>
                <c:pt idx="866">
                  <c:v>4.7909166093849658E-9</c:v>
                </c:pt>
                <c:pt idx="867">
                  <c:v>4.7995350851898529E-9</c:v>
                </c:pt>
                <c:pt idx="868">
                  <c:v>4.8081606868482641E-9</c:v>
                </c:pt>
                <c:pt idx="869">
                  <c:v>4.8167934143602042E-9</c:v>
                </c:pt>
                <c:pt idx="870">
                  <c:v>4.8254332677256709E-9</c:v>
                </c:pt>
                <c:pt idx="871">
                  <c:v>4.8340802469446649E-9</c:v>
                </c:pt>
                <c:pt idx="872">
                  <c:v>4.8427343520171854E-9</c:v>
                </c:pt>
                <c:pt idx="873">
                  <c:v>4.8513955829432333E-9</c:v>
                </c:pt>
                <c:pt idx="874">
                  <c:v>4.8600639397228077E-9</c:v>
                </c:pt>
                <c:pt idx="875">
                  <c:v>4.8687394223559102E-9</c:v>
                </c:pt>
                <c:pt idx="876">
                  <c:v>4.8774220308425385E-9</c:v>
                </c:pt>
                <c:pt idx="877">
                  <c:v>4.8861117651826949E-9</c:v>
                </c:pt>
                <c:pt idx="878">
                  <c:v>4.8948086253763779E-9</c:v>
                </c:pt>
                <c:pt idx="879">
                  <c:v>4.9035126114235882E-9</c:v>
                </c:pt>
                <c:pt idx="880">
                  <c:v>4.912223723324325E-9</c:v>
                </c:pt>
                <c:pt idx="881">
                  <c:v>4.9209419610785891E-9</c:v>
                </c:pt>
                <c:pt idx="882">
                  <c:v>4.9296673246863815E-9</c:v>
                </c:pt>
                <c:pt idx="883">
                  <c:v>4.9383998141476978E-9</c:v>
                </c:pt>
                <c:pt idx="884">
                  <c:v>4.947139429462544E-9</c:v>
                </c:pt>
                <c:pt idx="885">
                  <c:v>4.9558861706309167E-9</c:v>
                </c:pt>
                <c:pt idx="886">
                  <c:v>4.964640037652816E-9</c:v>
                </c:pt>
                <c:pt idx="887">
                  <c:v>4.9734010305282426E-9</c:v>
                </c:pt>
                <c:pt idx="888">
                  <c:v>4.9821691492571956E-9</c:v>
                </c:pt>
                <c:pt idx="889">
                  <c:v>4.9909443938396761E-9</c:v>
                </c:pt>
                <c:pt idx="890">
                  <c:v>4.9997267642756847E-9</c:v>
                </c:pt>
                <c:pt idx="891">
                  <c:v>5.008516260565219E-9</c:v>
                </c:pt>
                <c:pt idx="892">
                  <c:v>5.0173128827082807E-9</c:v>
                </c:pt>
                <c:pt idx="893">
                  <c:v>5.0261166307048696E-9</c:v>
                </c:pt>
                <c:pt idx="894">
                  <c:v>5.0349275045549852E-9</c:v>
                </c:pt>
                <c:pt idx="895">
                  <c:v>5.043745504258628E-9</c:v>
                </c:pt>
                <c:pt idx="896">
                  <c:v>5.0525706298157982E-9</c:v>
                </c:pt>
                <c:pt idx="897">
                  <c:v>5.0614028812264949E-9</c:v>
                </c:pt>
                <c:pt idx="898">
                  <c:v>5.0702422584907182E-9</c:v>
                </c:pt>
                <c:pt idx="899">
                  <c:v>5.0790887616084704E-9</c:v>
                </c:pt>
                <c:pt idx="900">
                  <c:v>5.0879423905797475E-9</c:v>
                </c:pt>
                <c:pt idx="901">
                  <c:v>5.0968031454045536E-9</c:v>
                </c:pt>
                <c:pt idx="902">
                  <c:v>5.1056710260828854E-9</c:v>
                </c:pt>
                <c:pt idx="903">
                  <c:v>5.1145460326147446E-9</c:v>
                </c:pt>
                <c:pt idx="904">
                  <c:v>5.1234281650001311E-9</c:v>
                </c:pt>
                <c:pt idx="905">
                  <c:v>5.1323174232390441E-9</c:v>
                </c:pt>
                <c:pt idx="906">
                  <c:v>5.1412138073314844E-9</c:v>
                </c:pt>
                <c:pt idx="907">
                  <c:v>5.1501173172774521E-9</c:v>
                </c:pt>
                <c:pt idx="908">
                  <c:v>5.1590279530769463E-9</c:v>
                </c:pt>
                <c:pt idx="909">
                  <c:v>5.1679457147299687E-9</c:v>
                </c:pt>
                <c:pt idx="910">
                  <c:v>5.1768706022365168E-9</c:v>
                </c:pt>
                <c:pt idx="911">
                  <c:v>5.1858026155965922E-9</c:v>
                </c:pt>
                <c:pt idx="912">
                  <c:v>5.1947417548101958E-9</c:v>
                </c:pt>
                <c:pt idx="913">
                  <c:v>5.2036880198773251E-9</c:v>
                </c:pt>
                <c:pt idx="914">
                  <c:v>5.2126414107979817E-9</c:v>
                </c:pt>
                <c:pt idx="915">
                  <c:v>5.2216019275721649E-9</c:v>
                </c:pt>
                <c:pt idx="916">
                  <c:v>5.230569570199877E-9</c:v>
                </c:pt>
                <c:pt idx="917">
                  <c:v>5.2395443386811132E-9</c:v>
                </c:pt>
                <c:pt idx="918">
                  <c:v>5.2485262330158792E-9</c:v>
                </c:pt>
                <c:pt idx="919">
                  <c:v>5.2575152532041718E-9</c:v>
                </c:pt>
                <c:pt idx="920">
                  <c:v>5.26651139924599E-9</c:v>
                </c:pt>
                <c:pt idx="921">
                  <c:v>5.2755146711413372E-9</c:v>
                </c:pt>
                <c:pt idx="922">
                  <c:v>5.2845250688902093E-9</c:v>
                </c:pt>
                <c:pt idx="923">
                  <c:v>5.2935425924926088E-9</c:v>
                </c:pt>
                <c:pt idx="924">
                  <c:v>5.302567241948538E-9</c:v>
                </c:pt>
                <c:pt idx="925">
                  <c:v>5.3115990172579905E-9</c:v>
                </c:pt>
                <c:pt idx="926">
                  <c:v>5.3206379184209728E-9</c:v>
                </c:pt>
                <c:pt idx="927">
                  <c:v>5.3296839454374816E-9</c:v>
                </c:pt>
                <c:pt idx="928">
                  <c:v>5.3387370983075169E-9</c:v>
                </c:pt>
                <c:pt idx="929">
                  <c:v>5.3477973770310788E-9</c:v>
                </c:pt>
                <c:pt idx="930">
                  <c:v>5.3568647816081696E-9</c:v>
                </c:pt>
                <c:pt idx="931">
                  <c:v>5.3659393120387862E-9</c:v>
                </c:pt>
                <c:pt idx="932">
                  <c:v>5.3750209683229284E-9</c:v>
                </c:pt>
                <c:pt idx="933">
                  <c:v>5.3841097504605997E-9</c:v>
                </c:pt>
                <c:pt idx="934">
                  <c:v>5.3932056584517974E-9</c:v>
                </c:pt>
                <c:pt idx="935">
                  <c:v>5.4023086922965217E-9</c:v>
                </c:pt>
                <c:pt idx="936">
                  <c:v>5.411418851994775E-9</c:v>
                </c:pt>
                <c:pt idx="937">
                  <c:v>5.4205361375465531E-9</c:v>
                </c:pt>
                <c:pt idx="938">
                  <c:v>5.4296605489518586E-9</c:v>
                </c:pt>
                <c:pt idx="939">
                  <c:v>5.4387920862106922E-9</c:v>
                </c:pt>
                <c:pt idx="940">
                  <c:v>5.4479307493230516E-9</c:v>
                </c:pt>
                <c:pt idx="941">
                  <c:v>5.4570765382889391E-9</c:v>
                </c:pt>
                <c:pt idx="942">
                  <c:v>5.4662294531083531E-9</c:v>
                </c:pt>
                <c:pt idx="943">
                  <c:v>5.4753894937812937E-9</c:v>
                </c:pt>
                <c:pt idx="944">
                  <c:v>5.4845566603077632E-9</c:v>
                </c:pt>
                <c:pt idx="945">
                  <c:v>5.4937309526877585E-9</c:v>
                </c:pt>
                <c:pt idx="946">
                  <c:v>5.5029123709212811E-9</c:v>
                </c:pt>
                <c:pt idx="947">
                  <c:v>5.5121009150083302E-9</c:v>
                </c:pt>
                <c:pt idx="948">
                  <c:v>5.521296584948905E-9</c:v>
                </c:pt>
                <c:pt idx="949">
                  <c:v>5.5304993807430088E-9</c:v>
                </c:pt>
                <c:pt idx="950">
                  <c:v>5.5397093023906408E-9</c:v>
                </c:pt>
                <c:pt idx="951">
                  <c:v>5.5489263498917984E-9</c:v>
                </c:pt>
                <c:pt idx="952">
                  <c:v>5.5581505232464818E-9</c:v>
                </c:pt>
                <c:pt idx="953">
                  <c:v>5.5673818224546941E-9</c:v>
                </c:pt>
                <c:pt idx="954">
                  <c:v>5.576620247516433E-9</c:v>
                </c:pt>
                <c:pt idx="955">
                  <c:v>5.5858657984316992E-9</c:v>
                </c:pt>
                <c:pt idx="956">
                  <c:v>5.595118475200492E-9</c:v>
                </c:pt>
                <c:pt idx="957">
                  <c:v>5.6043782778228112E-9</c:v>
                </c:pt>
                <c:pt idx="958">
                  <c:v>5.6136452062986578E-9</c:v>
                </c:pt>
                <c:pt idx="959">
                  <c:v>5.6229192606280318E-9</c:v>
                </c:pt>
                <c:pt idx="960">
                  <c:v>5.6322004408109339E-9</c:v>
                </c:pt>
                <c:pt idx="961">
                  <c:v>5.6414887468473609E-9</c:v>
                </c:pt>
                <c:pt idx="962">
                  <c:v>5.6507841787373169E-9</c:v>
                </c:pt>
                <c:pt idx="963">
                  <c:v>5.6600867364807985E-9</c:v>
                </c:pt>
                <c:pt idx="964">
                  <c:v>5.6693964200778084E-9</c:v>
                </c:pt>
                <c:pt idx="965">
                  <c:v>5.6787132295283439E-9</c:v>
                </c:pt>
                <c:pt idx="966">
                  <c:v>5.6880371648324076E-9</c:v>
                </c:pt>
                <c:pt idx="967">
                  <c:v>5.6973682259899979E-9</c:v>
                </c:pt>
                <c:pt idx="968">
                  <c:v>5.7067064130011155E-9</c:v>
                </c:pt>
                <c:pt idx="969">
                  <c:v>5.7160517258657595E-9</c:v>
                </c:pt>
                <c:pt idx="970">
                  <c:v>5.725404164583931E-9</c:v>
                </c:pt>
                <c:pt idx="971">
                  <c:v>5.7347637291556298E-9</c:v>
                </c:pt>
                <c:pt idx="972">
                  <c:v>5.7441304195808559E-9</c:v>
                </c:pt>
                <c:pt idx="973">
                  <c:v>5.7535042358596077E-9</c:v>
                </c:pt>
                <c:pt idx="974">
                  <c:v>5.7628851779918877E-9</c:v>
                </c:pt>
                <c:pt idx="975">
                  <c:v>5.7722732459776942E-9</c:v>
                </c:pt>
                <c:pt idx="976">
                  <c:v>5.7816684398170281E-9</c:v>
                </c:pt>
                <c:pt idx="977">
                  <c:v>5.7910707595098893E-9</c:v>
                </c:pt>
                <c:pt idx="978">
                  <c:v>5.800480205056277E-9</c:v>
                </c:pt>
                <c:pt idx="979">
                  <c:v>5.8098967764561913E-9</c:v>
                </c:pt>
                <c:pt idx="980">
                  <c:v>5.8193204737096337E-9</c:v>
                </c:pt>
                <c:pt idx="981">
                  <c:v>5.8287512968166034E-9</c:v>
                </c:pt>
                <c:pt idx="982">
                  <c:v>5.8381892457770989E-9</c:v>
                </c:pt>
                <c:pt idx="983">
                  <c:v>5.8476343205911217E-9</c:v>
                </c:pt>
                <c:pt idx="984">
                  <c:v>5.8570865212586735E-9</c:v>
                </c:pt>
                <c:pt idx="985">
                  <c:v>5.8665458477797493E-9</c:v>
                </c:pt>
                <c:pt idx="986">
                  <c:v>5.8760123001543541E-9</c:v>
                </c:pt>
                <c:pt idx="987">
                  <c:v>5.8854858783824847E-9</c:v>
                </c:pt>
                <c:pt idx="988">
                  <c:v>5.8949665824641434E-9</c:v>
                </c:pt>
                <c:pt idx="989">
                  <c:v>5.9044544123993286E-9</c:v>
                </c:pt>
                <c:pt idx="990">
                  <c:v>5.9139493681880411E-9</c:v>
                </c:pt>
                <c:pt idx="991">
                  <c:v>5.9234514498302819E-9</c:v>
                </c:pt>
                <c:pt idx="992">
                  <c:v>5.9329606573260483E-9</c:v>
                </c:pt>
                <c:pt idx="993">
                  <c:v>5.9424769906753412E-9</c:v>
                </c:pt>
                <c:pt idx="994">
                  <c:v>5.9520004498781615E-9</c:v>
                </c:pt>
                <c:pt idx="995">
                  <c:v>5.9615310349345092E-9</c:v>
                </c:pt>
                <c:pt idx="996">
                  <c:v>5.971068745844385E-9</c:v>
                </c:pt>
                <c:pt idx="997">
                  <c:v>5.9806135826077856E-9</c:v>
                </c:pt>
                <c:pt idx="998">
                  <c:v>5.9901655452247153E-9</c:v>
                </c:pt>
                <c:pt idx="999">
                  <c:v>5.9997246336951707E-9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92-49F8-A713-26FCC1DD0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406768"/>
        <c:axId val="436733728"/>
      </c:lineChart>
      <c:catAx>
        <c:axId val="433406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6733728"/>
        <c:crosses val="autoZero"/>
        <c:auto val="1"/>
        <c:lblAlgn val="ctr"/>
        <c:lblOffset val="100"/>
        <c:noMultiLvlLbl val="0"/>
      </c:catAx>
      <c:valAx>
        <c:axId val="43673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4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構造計算!$J$2:$J$1001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構造計算!$K$2:$K$1001</c:f>
              <c:numCache>
                <c:formatCode>General</c:formatCode>
                <c:ptCount val="1000"/>
                <c:pt idx="0">
                  <c:v>2.4403607969344286E-12</c:v>
                </c:pt>
                <c:pt idx="1">
                  <c:v>4.8878474473959063E-12</c:v>
                </c:pt>
                <c:pt idx="2">
                  <c:v>7.3424599513844327E-12</c:v>
                </c:pt>
                <c:pt idx="3">
                  <c:v>9.8041983089000058E-12</c:v>
                </c:pt>
                <c:pt idx="4">
                  <c:v>1.2273062519942632E-11</c:v>
                </c:pt>
                <c:pt idx="5">
                  <c:v>1.47490525845123E-11</c:v>
                </c:pt>
                <c:pt idx="6">
                  <c:v>1.7232168502609024E-11</c:v>
                </c:pt>
                <c:pt idx="7">
                  <c:v>1.972241027423279E-11</c:v>
                </c:pt>
                <c:pt idx="8">
                  <c:v>2.2219777899383605E-11</c:v>
                </c:pt>
                <c:pt idx="9">
                  <c:v>2.4724271378061471E-11</c:v>
                </c:pt>
                <c:pt idx="10">
                  <c:v>2.7235890710266385E-11</c:v>
                </c:pt>
                <c:pt idx="11">
                  <c:v>2.975463589599835E-11</c:v>
                </c:pt>
                <c:pt idx="12">
                  <c:v>3.2280506935257361E-11</c:v>
                </c:pt>
                <c:pt idx="13">
                  <c:v>3.481350382804342E-11</c:v>
                </c:pt>
                <c:pt idx="14">
                  <c:v>3.7353626574356534E-11</c:v>
                </c:pt>
                <c:pt idx="15">
                  <c:v>3.9900875174196683E-11</c:v>
                </c:pt>
                <c:pt idx="16">
                  <c:v>4.2455249627563893E-11</c:v>
                </c:pt>
                <c:pt idx="17">
                  <c:v>4.5016749934458145E-11</c:v>
                </c:pt>
                <c:pt idx="18">
                  <c:v>4.7585376094879452E-11</c:v>
                </c:pt>
                <c:pt idx="19">
                  <c:v>5.01611281088278E-11</c:v>
                </c:pt>
                <c:pt idx="20">
                  <c:v>5.2744005976303197E-11</c:v>
                </c:pt>
                <c:pt idx="21">
                  <c:v>5.5334009697305649E-11</c:v>
                </c:pt>
                <c:pt idx="22">
                  <c:v>5.7931139271835142E-11</c:v>
                </c:pt>
                <c:pt idx="23">
                  <c:v>6.053539469989169E-11</c:v>
                </c:pt>
                <c:pt idx="24">
                  <c:v>6.3146775981475274E-11</c:v>
                </c:pt>
                <c:pt idx="25">
                  <c:v>6.5765283116585931E-11</c:v>
                </c:pt>
                <c:pt idx="26">
                  <c:v>6.8390916105223611E-11</c:v>
                </c:pt>
                <c:pt idx="27">
                  <c:v>7.1023674947388353E-11</c:v>
                </c:pt>
                <c:pt idx="28">
                  <c:v>7.3663559643080142E-11</c:v>
                </c:pt>
                <c:pt idx="29">
                  <c:v>7.631057019229898E-11</c:v>
                </c:pt>
                <c:pt idx="30">
                  <c:v>7.8964706595044853E-11</c:v>
                </c:pt>
                <c:pt idx="31">
                  <c:v>8.16259688513178E-11</c:v>
                </c:pt>
                <c:pt idx="32">
                  <c:v>8.429435696111777E-11</c:v>
                </c:pt>
                <c:pt idx="33">
                  <c:v>8.69698709244448E-11</c:v>
                </c:pt>
                <c:pt idx="34">
                  <c:v>8.9652510741298892E-11</c:v>
                </c:pt>
                <c:pt idx="35">
                  <c:v>9.234227641168002E-11</c:v>
                </c:pt>
                <c:pt idx="36">
                  <c:v>9.5039167935588195E-11</c:v>
                </c:pt>
                <c:pt idx="37">
                  <c:v>9.7743185313023419E-11</c:v>
                </c:pt>
                <c:pt idx="38">
                  <c:v>1.0045432854398569E-10</c:v>
                </c:pt>
                <c:pt idx="39">
                  <c:v>1.0317259762847501E-10</c:v>
                </c:pt>
                <c:pt idx="40">
                  <c:v>1.0589799256649138E-10</c:v>
                </c:pt>
                <c:pt idx="41">
                  <c:v>1.086305133580348E-10</c:v>
                </c:pt>
                <c:pt idx="42">
                  <c:v>1.1137016000310526E-10</c:v>
                </c:pt>
                <c:pt idx="43">
                  <c:v>1.1411693250170278E-10</c:v>
                </c:pt>
                <c:pt idx="44">
                  <c:v>1.1687083085382734E-10</c:v>
                </c:pt>
                <c:pt idx="45">
                  <c:v>1.1963185505947896E-10</c:v>
                </c:pt>
                <c:pt idx="46">
                  <c:v>1.2240000511865762E-10</c:v>
                </c:pt>
                <c:pt idx="47">
                  <c:v>1.2517528103136331E-10</c:v>
                </c:pt>
                <c:pt idx="48">
                  <c:v>1.2795768279759609E-10</c:v>
                </c:pt>
                <c:pt idx="49">
                  <c:v>1.3074721041735591E-10</c:v>
                </c:pt>
                <c:pt idx="50">
                  <c:v>1.3354386389064276E-10</c:v>
                </c:pt>
                <c:pt idx="51">
                  <c:v>1.3634764321745665E-10</c:v>
                </c:pt>
                <c:pt idx="52">
                  <c:v>1.3915854839779762E-10</c:v>
                </c:pt>
                <c:pt idx="53">
                  <c:v>1.419765794316656E-10</c:v>
                </c:pt>
                <c:pt idx="54">
                  <c:v>1.4480173631906065E-10</c:v>
                </c:pt>
                <c:pt idx="55">
                  <c:v>1.4763401905998275E-10</c:v>
                </c:pt>
                <c:pt idx="56">
                  <c:v>1.504734276544319E-10</c:v>
                </c:pt>
                <c:pt idx="57">
                  <c:v>1.533199621024081E-10</c:v>
                </c:pt>
                <c:pt idx="58">
                  <c:v>1.5617362240391134E-10</c:v>
                </c:pt>
                <c:pt idx="59">
                  <c:v>1.5903440855894163E-10</c:v>
                </c:pt>
                <c:pt idx="60">
                  <c:v>1.6190232056749897E-10</c:v>
                </c:pt>
                <c:pt idx="61">
                  <c:v>1.6477735842958339E-10</c:v>
                </c:pt>
                <c:pt idx="62">
                  <c:v>1.6765952214519482E-10</c:v>
                </c:pt>
                <c:pt idx="63">
                  <c:v>1.7054881171433331E-10</c:v>
                </c:pt>
                <c:pt idx="64">
                  <c:v>1.7344522713699881E-10</c:v>
                </c:pt>
                <c:pt idx="65">
                  <c:v>1.763487684131914E-10</c:v>
                </c:pt>
                <c:pt idx="66">
                  <c:v>1.7925943554291103E-10</c:v>
                </c:pt>
                <c:pt idx="67">
                  <c:v>1.8217722852615774E-10</c:v>
                </c:pt>
                <c:pt idx="68">
                  <c:v>1.8510214736293143E-10</c:v>
                </c:pt>
                <c:pt idx="69">
                  <c:v>1.8803419205323224E-10</c:v>
                </c:pt>
                <c:pt idx="70">
                  <c:v>1.9097336259706005E-10</c:v>
                </c:pt>
                <c:pt idx="71">
                  <c:v>1.9391965899441491E-10</c:v>
                </c:pt>
                <c:pt idx="72">
                  <c:v>1.9687308124529685E-10</c:v>
                </c:pt>
                <c:pt idx="73">
                  <c:v>1.9983362934970582E-10</c:v>
                </c:pt>
                <c:pt idx="74">
                  <c:v>2.0280130330764183E-10</c:v>
                </c:pt>
                <c:pt idx="75">
                  <c:v>2.057761031191049E-10</c:v>
                </c:pt>
                <c:pt idx="76">
                  <c:v>2.0875802878409506E-10</c:v>
                </c:pt>
                <c:pt idx="77">
                  <c:v>2.117470803026122E-10</c:v>
                </c:pt>
                <c:pt idx="78">
                  <c:v>2.147432576746564E-10</c:v>
                </c:pt>
                <c:pt idx="79">
                  <c:v>2.1774656090022764E-10</c:v>
                </c:pt>
                <c:pt idx="80">
                  <c:v>2.2075698997932599E-10</c:v>
                </c:pt>
                <c:pt idx="81">
                  <c:v>2.2377454491195135E-10</c:v>
                </c:pt>
                <c:pt idx="82">
                  <c:v>2.2679922569810378E-10</c:v>
                </c:pt>
                <c:pt idx="83">
                  <c:v>2.2983103233778321E-10</c:v>
                </c:pt>
                <c:pt idx="84">
                  <c:v>2.3286996483098973E-10</c:v>
                </c:pt>
                <c:pt idx="85">
                  <c:v>2.3591602317772325E-10</c:v>
                </c:pt>
                <c:pt idx="86">
                  <c:v>2.3896920737798392E-10</c:v>
                </c:pt>
                <c:pt idx="87">
                  <c:v>2.4202951743177152E-10</c:v>
                </c:pt>
                <c:pt idx="88">
                  <c:v>2.450969533390862E-10</c:v>
                </c:pt>
                <c:pt idx="89">
                  <c:v>2.4817151509992798E-10</c:v>
                </c:pt>
                <c:pt idx="90">
                  <c:v>2.5125320271429679E-10</c:v>
                </c:pt>
                <c:pt idx="91">
                  <c:v>2.5434201618219263E-10</c:v>
                </c:pt>
                <c:pt idx="92">
                  <c:v>2.5743795550361551E-10</c:v>
                </c:pt>
                <c:pt idx="93">
                  <c:v>2.6054102067856542E-10</c:v>
                </c:pt>
                <c:pt idx="94">
                  <c:v>2.6365121170704242E-10</c:v>
                </c:pt>
                <c:pt idx="95">
                  <c:v>2.6676852858904651E-10</c:v>
                </c:pt>
                <c:pt idx="96">
                  <c:v>2.6989297132457753E-10</c:v>
                </c:pt>
                <c:pt idx="97">
                  <c:v>2.7302453991363574E-10</c:v>
                </c:pt>
                <c:pt idx="98">
                  <c:v>2.7616323435622094E-10</c:v>
                </c:pt>
                <c:pt idx="99">
                  <c:v>2.7930905465233311E-10</c:v>
                </c:pt>
                <c:pt idx="100">
                  <c:v>2.8246200080197243E-10</c:v>
                </c:pt>
                <c:pt idx="101">
                  <c:v>2.8562207280513878E-10</c:v>
                </c:pt>
                <c:pt idx="102">
                  <c:v>2.8878927066183212E-10</c:v>
                </c:pt>
                <c:pt idx="103">
                  <c:v>2.9196359437205254E-10</c:v>
                </c:pt>
                <c:pt idx="104">
                  <c:v>2.9514504393580005E-10</c:v>
                </c:pt>
                <c:pt idx="105">
                  <c:v>2.9833361935307459E-10</c:v>
                </c:pt>
                <c:pt idx="106">
                  <c:v>3.0152932062387612E-10</c:v>
                </c:pt>
                <c:pt idx="107">
                  <c:v>3.0473214774820474E-10</c:v>
                </c:pt>
                <c:pt idx="108">
                  <c:v>3.0794210072606044E-10</c:v>
                </c:pt>
                <c:pt idx="109">
                  <c:v>3.1115917955744313E-10</c:v>
                </c:pt>
                <c:pt idx="110">
                  <c:v>3.1438338424235295E-10</c:v>
                </c:pt>
                <c:pt idx="111">
                  <c:v>3.1761471478078971E-10</c:v>
                </c:pt>
                <c:pt idx="112">
                  <c:v>3.2085317117275355E-10</c:v>
                </c:pt>
                <c:pt idx="113">
                  <c:v>3.2409875341824448E-10</c:v>
                </c:pt>
                <c:pt idx="114">
                  <c:v>3.2735146151726245E-10</c:v>
                </c:pt>
                <c:pt idx="115">
                  <c:v>3.306112954698075E-10</c:v>
                </c:pt>
                <c:pt idx="116">
                  <c:v>3.3387825527587954E-10</c:v>
                </c:pt>
                <c:pt idx="117">
                  <c:v>3.3715234093547867E-10</c:v>
                </c:pt>
                <c:pt idx="118">
                  <c:v>3.4043355244860477E-10</c:v>
                </c:pt>
                <c:pt idx="119">
                  <c:v>3.4372188981525797E-10</c:v>
                </c:pt>
                <c:pt idx="120">
                  <c:v>3.470173530354382E-10</c:v>
                </c:pt>
                <c:pt idx="121">
                  <c:v>3.5031994210914557E-10</c:v>
                </c:pt>
                <c:pt idx="122">
                  <c:v>3.5362965703637992E-10</c:v>
                </c:pt>
                <c:pt idx="123">
                  <c:v>3.5694649781714131E-10</c:v>
                </c:pt>
                <c:pt idx="124">
                  <c:v>3.6027046445142973E-10</c:v>
                </c:pt>
                <c:pt idx="125">
                  <c:v>3.6360155693924524E-10</c:v>
                </c:pt>
                <c:pt idx="126">
                  <c:v>3.6693977528058774E-10</c:v>
                </c:pt>
                <c:pt idx="127">
                  <c:v>3.7028511947545742E-10</c:v>
                </c:pt>
                <c:pt idx="128">
                  <c:v>3.7363758952385404E-10</c:v>
                </c:pt>
                <c:pt idx="129">
                  <c:v>3.7699718542577774E-10</c:v>
                </c:pt>
                <c:pt idx="130">
                  <c:v>3.8036390718122848E-10</c:v>
                </c:pt>
                <c:pt idx="131">
                  <c:v>3.837377547902062E-10</c:v>
                </c:pt>
                <c:pt idx="132">
                  <c:v>3.8711872825271111E-10</c:v>
                </c:pt>
                <c:pt idx="133">
                  <c:v>3.9050682756874291E-10</c:v>
                </c:pt>
                <c:pt idx="134">
                  <c:v>3.9390205273830189E-10</c:v>
                </c:pt>
                <c:pt idx="135">
                  <c:v>3.9730440376138786E-10</c:v>
                </c:pt>
                <c:pt idx="136">
                  <c:v>4.0071388063800091E-10</c:v>
                </c:pt>
                <c:pt idx="137">
                  <c:v>4.0413048336814095E-10</c:v>
                </c:pt>
                <c:pt idx="138">
                  <c:v>4.0755421195180808E-10</c:v>
                </c:pt>
                <c:pt idx="139">
                  <c:v>4.1098506638900224E-10</c:v>
                </c:pt>
                <c:pt idx="140">
                  <c:v>4.1442304667972343E-10</c:v>
                </c:pt>
                <c:pt idx="141">
                  <c:v>4.1786815282397177E-10</c:v>
                </c:pt>
                <c:pt idx="142">
                  <c:v>4.2132038482174703E-10</c:v>
                </c:pt>
                <c:pt idx="143">
                  <c:v>4.2477974267304944E-10</c:v>
                </c:pt>
                <c:pt idx="144">
                  <c:v>4.2824622637787888E-10</c:v>
                </c:pt>
                <c:pt idx="145">
                  <c:v>4.3171983593623535E-10</c:v>
                </c:pt>
                <c:pt idx="146">
                  <c:v>4.3520057134811881E-10</c:v>
                </c:pt>
                <c:pt idx="147">
                  <c:v>4.3868843261352946E-10</c:v>
                </c:pt>
                <c:pt idx="148">
                  <c:v>4.4218341973246699E-10</c:v>
                </c:pt>
                <c:pt idx="149">
                  <c:v>4.4568553270493171E-10</c:v>
                </c:pt>
                <c:pt idx="150">
                  <c:v>4.4919477153092342E-10</c:v>
                </c:pt>
                <c:pt idx="151">
                  <c:v>4.5271113621044216E-10</c:v>
                </c:pt>
                <c:pt idx="152">
                  <c:v>4.5623462674348793E-10</c:v>
                </c:pt>
                <c:pt idx="153">
                  <c:v>4.5976524313006084E-10</c:v>
                </c:pt>
                <c:pt idx="154">
                  <c:v>4.6330298537016069E-10</c:v>
                </c:pt>
                <c:pt idx="155">
                  <c:v>4.6684785346378773E-10</c:v>
                </c:pt>
                <c:pt idx="156">
                  <c:v>4.7039984741094164E-10</c:v>
                </c:pt>
                <c:pt idx="157">
                  <c:v>4.739589672116227E-10</c:v>
                </c:pt>
                <c:pt idx="158">
                  <c:v>4.7752521286583079E-10</c:v>
                </c:pt>
                <c:pt idx="159">
                  <c:v>4.8109858437356591E-10</c:v>
                </c:pt>
                <c:pt idx="160">
                  <c:v>4.8467908173482818E-10</c:v>
                </c:pt>
                <c:pt idx="161">
                  <c:v>4.8826670494961737E-10</c:v>
                </c:pt>
                <c:pt idx="162">
                  <c:v>4.9186145401793361E-10</c:v>
                </c:pt>
                <c:pt idx="163">
                  <c:v>4.9546332893977708E-10</c:v>
                </c:pt>
                <c:pt idx="164">
                  <c:v>4.9907232971514738E-10</c:v>
                </c:pt>
                <c:pt idx="165">
                  <c:v>5.0268845634404493E-10</c:v>
                </c:pt>
                <c:pt idx="166">
                  <c:v>5.063117088264694E-10</c:v>
                </c:pt>
                <c:pt idx="167">
                  <c:v>5.0994208716242092E-10</c:v>
                </c:pt>
                <c:pt idx="168">
                  <c:v>5.1357959135189946E-10</c:v>
                </c:pt>
                <c:pt idx="169">
                  <c:v>5.1722422139490515E-10</c:v>
                </c:pt>
                <c:pt idx="170">
                  <c:v>5.2087597729143777E-10</c:v>
                </c:pt>
                <c:pt idx="171">
                  <c:v>5.2453485904149752E-10</c:v>
                </c:pt>
                <c:pt idx="172">
                  <c:v>5.2820086664508431E-10</c:v>
                </c:pt>
                <c:pt idx="173">
                  <c:v>5.3187400010219804E-10</c:v>
                </c:pt>
                <c:pt idx="174">
                  <c:v>5.35554259412839E-10</c:v>
                </c:pt>
                <c:pt idx="175">
                  <c:v>5.392416445770069E-10</c:v>
                </c:pt>
                <c:pt idx="176">
                  <c:v>5.4293615559470184E-10</c:v>
                </c:pt>
                <c:pt idx="177">
                  <c:v>5.4663779246592391E-10</c:v>
                </c:pt>
                <c:pt idx="178">
                  <c:v>5.5034655519067291E-10</c:v>
                </c:pt>
                <c:pt idx="179">
                  <c:v>5.5406244376894905E-10</c:v>
                </c:pt>
                <c:pt idx="180">
                  <c:v>5.5778545820075234E-10</c:v>
                </c:pt>
                <c:pt idx="181">
                  <c:v>5.6151559848608245E-10</c:v>
                </c:pt>
                <c:pt idx="182">
                  <c:v>5.6525286462493969E-10</c:v>
                </c:pt>
                <c:pt idx="183">
                  <c:v>5.6899725661732398E-10</c:v>
                </c:pt>
                <c:pt idx="184">
                  <c:v>5.727487744632353E-10</c:v>
                </c:pt>
                <c:pt idx="185">
                  <c:v>5.7650741816267376E-10</c:v>
                </c:pt>
                <c:pt idx="186">
                  <c:v>5.8027318771563925E-10</c:v>
                </c:pt>
                <c:pt idx="187">
                  <c:v>5.8404608312213168E-10</c:v>
                </c:pt>
                <c:pt idx="188">
                  <c:v>5.8782610438215134E-10</c:v>
                </c:pt>
                <c:pt idx="189">
                  <c:v>5.9161325149569794E-10</c:v>
                </c:pt>
                <c:pt idx="190">
                  <c:v>5.9540752446277147E-10</c:v>
                </c:pt>
                <c:pt idx="191">
                  <c:v>5.9920892328337225E-10</c:v>
                </c:pt>
                <c:pt idx="192">
                  <c:v>6.0301744795749995E-10</c:v>
                </c:pt>
                <c:pt idx="193">
                  <c:v>6.0683309848515469E-10</c:v>
                </c:pt>
                <c:pt idx="194">
                  <c:v>6.1065587486633668E-10</c:v>
                </c:pt>
                <c:pt idx="195">
                  <c:v>6.1448577710104549E-10</c:v>
                </c:pt>
                <c:pt idx="196">
                  <c:v>6.1832280518928154E-10</c:v>
                </c:pt>
                <c:pt idx="197">
                  <c:v>6.2216695913104443E-10</c:v>
                </c:pt>
                <c:pt idx="198">
                  <c:v>6.2601823892633445E-10</c:v>
                </c:pt>
                <c:pt idx="199">
                  <c:v>6.2987664457515161E-10</c:v>
                </c:pt>
                <c:pt idx="200">
                  <c:v>6.337421760774957E-10</c:v>
                </c:pt>
                <c:pt idx="201">
                  <c:v>6.3761483343336693E-10</c:v>
                </c:pt>
                <c:pt idx="202">
                  <c:v>6.4149461664276519E-10</c:v>
                </c:pt>
                <c:pt idx="203">
                  <c:v>6.453815257056905E-10</c:v>
                </c:pt>
                <c:pt idx="204">
                  <c:v>6.4927556062214273E-10</c:v>
                </c:pt>
                <c:pt idx="205">
                  <c:v>6.531767213921221E-10</c:v>
                </c:pt>
                <c:pt idx="206">
                  <c:v>6.5708500801562851E-10</c:v>
                </c:pt>
                <c:pt idx="207">
                  <c:v>6.6100042049266205E-10</c:v>
                </c:pt>
                <c:pt idx="208">
                  <c:v>6.6492295882322264E-10</c:v>
                </c:pt>
                <c:pt idx="209">
                  <c:v>6.6885262300731015E-10</c:v>
                </c:pt>
                <c:pt idx="210">
                  <c:v>6.727894130449248E-10</c:v>
                </c:pt>
                <c:pt idx="211">
                  <c:v>6.7673332893606638E-10</c:v>
                </c:pt>
                <c:pt idx="212">
                  <c:v>6.8068437068073511E-10</c:v>
                </c:pt>
                <c:pt idx="213">
                  <c:v>6.8464253827893087E-10</c:v>
                </c:pt>
                <c:pt idx="214">
                  <c:v>6.8860783173065366E-10</c:v>
                </c:pt>
                <c:pt idx="215">
                  <c:v>6.9258025103590359E-10</c:v>
                </c:pt>
                <c:pt idx="216">
                  <c:v>6.9655979619468045E-10</c:v>
                </c:pt>
                <c:pt idx="217">
                  <c:v>7.0054646720698435E-10</c:v>
                </c:pt>
                <c:pt idx="218">
                  <c:v>7.0454026407281539E-10</c:v>
                </c:pt>
                <c:pt idx="219">
                  <c:v>7.0854118679217347E-10</c:v>
                </c:pt>
                <c:pt idx="220">
                  <c:v>7.1254923536505857E-10</c:v>
                </c:pt>
                <c:pt idx="221">
                  <c:v>7.1656440979147072E-10</c:v>
                </c:pt>
                <c:pt idx="222">
                  <c:v>7.2058671007141E-10</c:v>
                </c:pt>
                <c:pt idx="223">
                  <c:v>7.2461613620487622E-10</c:v>
                </c:pt>
                <c:pt idx="224">
                  <c:v>7.2865268819186957E-10</c:v>
                </c:pt>
                <c:pt idx="225">
                  <c:v>7.3269636603238986E-10</c:v>
                </c:pt>
                <c:pt idx="226">
                  <c:v>7.3674716972643718E-10</c:v>
                </c:pt>
                <c:pt idx="227">
                  <c:v>7.4080509927401164E-10</c:v>
                </c:pt>
                <c:pt idx="228">
                  <c:v>7.4487015467511324E-10</c:v>
                </c:pt>
                <c:pt idx="229">
                  <c:v>7.4894233592974177E-10</c:v>
                </c:pt>
                <c:pt idx="230">
                  <c:v>7.5302164303789723E-10</c:v>
                </c:pt>
                <c:pt idx="231">
                  <c:v>7.5710807599957983E-10</c:v>
                </c:pt>
                <c:pt idx="232">
                  <c:v>7.6120163481478957E-10</c:v>
                </c:pt>
                <c:pt idx="233">
                  <c:v>7.6530231948352645E-10</c:v>
                </c:pt>
                <c:pt idx="234">
                  <c:v>7.6941013000579026E-10</c:v>
                </c:pt>
                <c:pt idx="235">
                  <c:v>7.73525066381581E-10</c:v>
                </c:pt>
                <c:pt idx="236">
                  <c:v>7.7764712861089878E-10</c:v>
                </c:pt>
                <c:pt idx="237">
                  <c:v>7.817763166937438E-10</c:v>
                </c:pt>
                <c:pt idx="238">
                  <c:v>7.8591263063011575E-10</c:v>
                </c:pt>
                <c:pt idx="239">
                  <c:v>7.9005607042001494E-10</c:v>
                </c:pt>
                <c:pt idx="240">
                  <c:v>7.9420663606344097E-10</c:v>
                </c:pt>
                <c:pt idx="241">
                  <c:v>7.9836432756039392E-10</c:v>
                </c:pt>
                <c:pt idx="242">
                  <c:v>8.0252914491087412E-10</c:v>
                </c:pt>
                <c:pt idx="243">
                  <c:v>8.0670108811488145E-10</c:v>
                </c:pt>
                <c:pt idx="244">
                  <c:v>8.1088015717241582E-10</c:v>
                </c:pt>
                <c:pt idx="245">
                  <c:v>8.1506635208347702E-10</c:v>
                </c:pt>
                <c:pt idx="246">
                  <c:v>8.1925967284806546E-10</c:v>
                </c:pt>
                <c:pt idx="247">
                  <c:v>8.2346011946618073E-10</c:v>
                </c:pt>
                <c:pt idx="248">
                  <c:v>8.2766769193782335E-10</c:v>
                </c:pt>
                <c:pt idx="249">
                  <c:v>8.3188239026299279E-10</c:v>
                </c:pt>
                <c:pt idx="250">
                  <c:v>8.3610421444168948E-10</c:v>
                </c:pt>
                <c:pt idx="251">
                  <c:v>8.4033316447391289E-10</c:v>
                </c:pt>
                <c:pt idx="252">
                  <c:v>8.4456924035966365E-10</c:v>
                </c:pt>
                <c:pt idx="253">
                  <c:v>8.4881244209894134E-10</c:v>
                </c:pt>
                <c:pt idx="254">
                  <c:v>8.5306276969174596E-10</c:v>
                </c:pt>
                <c:pt idx="255">
                  <c:v>8.5732022313807782E-10</c:v>
                </c:pt>
                <c:pt idx="256">
                  <c:v>8.6158480243793682E-10</c:v>
                </c:pt>
                <c:pt idx="257">
                  <c:v>8.6585650759132265E-10</c:v>
                </c:pt>
                <c:pt idx="258">
                  <c:v>8.7013533859823562E-10</c:v>
                </c:pt>
                <c:pt idx="259">
                  <c:v>8.7442129545867552E-10</c:v>
                </c:pt>
                <c:pt idx="260">
                  <c:v>8.7871437817264256E-10</c:v>
                </c:pt>
                <c:pt idx="261">
                  <c:v>8.8301458674013674E-10</c:v>
                </c:pt>
                <c:pt idx="262">
                  <c:v>8.8732192116115775E-10</c:v>
                </c:pt>
                <c:pt idx="263">
                  <c:v>8.91636381435706E-10</c:v>
                </c:pt>
                <c:pt idx="264">
                  <c:v>8.9595796756378138E-10</c:v>
                </c:pt>
                <c:pt idx="265">
                  <c:v>9.002866795453836E-10</c:v>
                </c:pt>
                <c:pt idx="266">
                  <c:v>9.0462251738051285E-10</c:v>
                </c:pt>
                <c:pt idx="267">
                  <c:v>9.0896548106916935E-10</c:v>
                </c:pt>
                <c:pt idx="268">
                  <c:v>9.1331557061135287E-10</c:v>
                </c:pt>
                <c:pt idx="269">
                  <c:v>9.1767278600706323E-10</c:v>
                </c:pt>
                <c:pt idx="270">
                  <c:v>9.2203712725630083E-10</c:v>
                </c:pt>
                <c:pt idx="271">
                  <c:v>9.2640859435906547E-10</c:v>
                </c:pt>
                <c:pt idx="272">
                  <c:v>9.3078718731535703E-10</c:v>
                </c:pt>
                <c:pt idx="273">
                  <c:v>9.3517290612517553E-10</c:v>
                </c:pt>
                <c:pt idx="274">
                  <c:v>9.3956575078852127E-10</c:v>
                </c:pt>
                <c:pt idx="275">
                  <c:v>9.4396572130539415E-10</c:v>
                </c:pt>
                <c:pt idx="276">
                  <c:v>9.4837281767579397E-10</c:v>
                </c:pt>
                <c:pt idx="277">
                  <c:v>9.5278703989972092E-10</c:v>
                </c:pt>
                <c:pt idx="278">
                  <c:v>9.572083879771748E-10</c:v>
                </c:pt>
                <c:pt idx="279">
                  <c:v>9.6163686190815561E-10</c:v>
                </c:pt>
                <c:pt idx="280">
                  <c:v>9.6607246169266377E-10</c:v>
                </c:pt>
                <c:pt idx="281">
                  <c:v>9.7051518733069887E-10</c:v>
                </c:pt>
                <c:pt idx="282">
                  <c:v>9.7496503882226089E-10</c:v>
                </c:pt>
                <c:pt idx="283">
                  <c:v>9.7942201616735026E-10</c:v>
                </c:pt>
                <c:pt idx="284">
                  <c:v>9.8388611936596636E-10</c:v>
                </c:pt>
                <c:pt idx="285">
                  <c:v>9.8835734841810959E-10</c:v>
                </c:pt>
                <c:pt idx="286">
                  <c:v>9.9283570332377996E-10</c:v>
                </c:pt>
                <c:pt idx="287">
                  <c:v>9.9732118408297726E-10</c:v>
                </c:pt>
                <c:pt idx="288">
                  <c:v>1.0018137906957019E-9</c:v>
                </c:pt>
                <c:pt idx="289">
                  <c:v>1.0063135231619533E-9</c:v>
                </c:pt>
                <c:pt idx="290">
                  <c:v>1.0108203814817316E-9</c:v>
                </c:pt>
                <c:pt idx="291">
                  <c:v>1.0153343656550372E-9</c:v>
                </c:pt>
                <c:pt idx="292">
                  <c:v>1.0198554756818696E-9</c:v>
                </c:pt>
                <c:pt idx="293">
                  <c:v>1.0243837115622296E-9</c:v>
                </c:pt>
                <c:pt idx="294">
                  <c:v>1.028919073296116E-9</c:v>
                </c:pt>
                <c:pt idx="295">
                  <c:v>1.03346156088353E-9</c:v>
                </c:pt>
                <c:pt idx="296">
                  <c:v>1.0380111743244707E-9</c:v>
                </c:pt>
                <c:pt idx="297">
                  <c:v>1.0425679136189384E-9</c:v>
                </c:pt>
                <c:pt idx="298">
                  <c:v>1.0471317787669332E-9</c:v>
                </c:pt>
                <c:pt idx="299">
                  <c:v>1.0517027697684553E-9</c:v>
                </c:pt>
                <c:pt idx="300">
                  <c:v>1.0562808866235044E-9</c:v>
                </c:pt>
                <c:pt idx="301">
                  <c:v>1.0608661293320804E-9</c:v>
                </c:pt>
                <c:pt idx="302">
                  <c:v>1.0654584978941835E-9</c:v>
                </c:pt>
                <c:pt idx="303">
                  <c:v>1.0700579923098134E-9</c:v>
                </c:pt>
                <c:pt idx="304">
                  <c:v>1.0746646125789706E-9</c:v>
                </c:pt>
                <c:pt idx="305">
                  <c:v>1.0792783587016552E-9</c:v>
                </c:pt>
                <c:pt idx="306">
                  <c:v>1.0838992306778665E-9</c:v>
                </c:pt>
                <c:pt idx="307">
                  <c:v>1.0885272285076047E-9</c:v>
                </c:pt>
                <c:pt idx="308">
                  <c:v>1.0931623521908701E-9</c:v>
                </c:pt>
                <c:pt idx="309">
                  <c:v>1.0978046017276623E-9</c:v>
                </c:pt>
                <c:pt idx="310">
                  <c:v>1.102453977117982E-9</c:v>
                </c:pt>
                <c:pt idx="311">
                  <c:v>1.1071104783618283E-9</c:v>
                </c:pt>
                <c:pt idx="312">
                  <c:v>1.1117741054592018E-9</c:v>
                </c:pt>
                <c:pt idx="313">
                  <c:v>1.1164448584101025E-9</c:v>
                </c:pt>
                <c:pt idx="314">
                  <c:v>1.1211227372145302E-9</c:v>
                </c:pt>
                <c:pt idx="315">
                  <c:v>1.125807741872485E-9</c:v>
                </c:pt>
                <c:pt idx="316">
                  <c:v>1.1304998723839668E-9</c:v>
                </c:pt>
                <c:pt idx="317">
                  <c:v>1.1351991287489756E-9</c:v>
                </c:pt>
                <c:pt idx="318">
                  <c:v>1.1399055109675115E-9</c:v>
                </c:pt>
                <c:pt idx="319">
                  <c:v>1.1446190190395746E-9</c:v>
                </c:pt>
                <c:pt idx="320">
                  <c:v>1.1493396529651643E-9</c:v>
                </c:pt>
                <c:pt idx="321">
                  <c:v>1.1540674127442813E-9</c:v>
                </c:pt>
                <c:pt idx="322">
                  <c:v>1.1588022983769255E-9</c:v>
                </c:pt>
                <c:pt idx="323">
                  <c:v>1.1635443098630967E-9</c:v>
                </c:pt>
                <c:pt idx="324">
                  <c:v>1.1682934472027944E-9</c:v>
                </c:pt>
                <c:pt idx="325">
                  <c:v>1.1730497103960199E-9</c:v>
                </c:pt>
                <c:pt idx="326">
                  <c:v>1.1778130994427721E-9</c:v>
                </c:pt>
                <c:pt idx="327">
                  <c:v>1.1825836143430512E-9</c:v>
                </c:pt>
                <c:pt idx="328">
                  <c:v>1.1873612550968577E-9</c:v>
                </c:pt>
                <c:pt idx="329">
                  <c:v>1.1921460217041909E-9</c:v>
                </c:pt>
                <c:pt idx="330">
                  <c:v>1.1969379141650515E-9</c:v>
                </c:pt>
                <c:pt idx="331">
                  <c:v>1.2017369324794389E-9</c:v>
                </c:pt>
                <c:pt idx="332">
                  <c:v>1.2065430766473536E-9</c:v>
                </c:pt>
                <c:pt idx="333">
                  <c:v>1.2113563466687951E-9</c:v>
                </c:pt>
                <c:pt idx="334">
                  <c:v>1.216176742543764E-9</c:v>
                </c:pt>
                <c:pt idx="335">
                  <c:v>1.2210042642722596E-9</c:v>
                </c:pt>
                <c:pt idx="336">
                  <c:v>1.2258389118542822E-9</c:v>
                </c:pt>
                <c:pt idx="337">
                  <c:v>1.2306806852898319E-9</c:v>
                </c:pt>
                <c:pt idx="338">
                  <c:v>1.2355295845789087E-9</c:v>
                </c:pt>
                <c:pt idx="339">
                  <c:v>1.2403856097215129E-9</c:v>
                </c:pt>
                <c:pt idx="340">
                  <c:v>1.2452487607176438E-9</c:v>
                </c:pt>
                <c:pt idx="341">
                  <c:v>1.2501190375673016E-9</c:v>
                </c:pt>
                <c:pt idx="342">
                  <c:v>1.2549964402704868E-9</c:v>
                </c:pt>
                <c:pt idx="343">
                  <c:v>1.2598809688271987E-9</c:v>
                </c:pt>
                <c:pt idx="344">
                  <c:v>1.2647726232374379E-9</c:v>
                </c:pt>
                <c:pt idx="345">
                  <c:v>1.2696714035012039E-9</c:v>
                </c:pt>
                <c:pt idx="346">
                  <c:v>1.2745773096184972E-9</c:v>
                </c:pt>
                <c:pt idx="347">
                  <c:v>1.2794903415893175E-9</c:v>
                </c:pt>
                <c:pt idx="348">
                  <c:v>1.2844104994136649E-9</c:v>
                </c:pt>
                <c:pt idx="349">
                  <c:v>1.289337783091539E-9</c:v>
                </c:pt>
                <c:pt idx="350">
                  <c:v>1.2942721926229405E-9</c:v>
                </c:pt>
                <c:pt idx="351">
                  <c:v>1.2992137280078691E-9</c:v>
                </c:pt>
                <c:pt idx="352">
                  <c:v>1.3041623892463246E-9</c:v>
                </c:pt>
                <c:pt idx="353">
                  <c:v>1.3091181763383073E-9</c:v>
                </c:pt>
                <c:pt idx="354">
                  <c:v>1.3140810892838167E-9</c:v>
                </c:pt>
                <c:pt idx="355">
                  <c:v>1.3190511280828536E-9</c:v>
                </c:pt>
                <c:pt idx="356">
                  <c:v>1.3240282927354173E-9</c:v>
                </c:pt>
                <c:pt idx="357">
                  <c:v>1.3290125832415079E-9</c:v>
                </c:pt>
                <c:pt idx="358">
                  <c:v>1.3340039996011258E-9</c:v>
                </c:pt>
                <c:pt idx="359">
                  <c:v>1.3390025418142705E-9</c:v>
                </c:pt>
                <c:pt idx="360">
                  <c:v>1.3440082098809425E-9</c:v>
                </c:pt>
                <c:pt idx="361">
                  <c:v>1.3490210038011413E-9</c:v>
                </c:pt>
                <c:pt idx="362">
                  <c:v>1.3540409235748672E-9</c:v>
                </c:pt>
                <c:pt idx="363">
                  <c:v>1.3590679692021204E-9</c:v>
                </c:pt>
                <c:pt idx="364">
                  <c:v>1.3641021406829004E-9</c:v>
                </c:pt>
                <c:pt idx="365">
                  <c:v>1.3691434380172077E-9</c:v>
                </c:pt>
                <c:pt idx="366">
                  <c:v>1.3741918612050417E-9</c:v>
                </c:pt>
                <c:pt idx="367">
                  <c:v>1.3792474102464031E-9</c:v>
                </c:pt>
                <c:pt idx="368">
                  <c:v>1.3843100851412916E-9</c:v>
                </c:pt>
                <c:pt idx="369">
                  <c:v>1.3893798858897066E-9</c:v>
                </c:pt>
                <c:pt idx="370">
                  <c:v>1.3944568124916492E-9</c:v>
                </c:pt>
                <c:pt idx="371">
                  <c:v>1.3995408649471185E-9</c:v>
                </c:pt>
                <c:pt idx="372">
                  <c:v>1.4046320432561149E-9</c:v>
                </c:pt>
                <c:pt idx="373">
                  <c:v>1.4097303474186385E-9</c:v>
                </c:pt>
                <c:pt idx="374">
                  <c:v>1.4148357774346892E-9</c:v>
                </c:pt>
                <c:pt idx="375">
                  <c:v>1.4199483333042669E-9</c:v>
                </c:pt>
                <c:pt idx="376">
                  <c:v>1.4250680150273717E-9</c:v>
                </c:pt>
                <c:pt idx="377">
                  <c:v>1.430194822604003E-9</c:v>
                </c:pt>
                <c:pt idx="378">
                  <c:v>1.4353287560341621E-9</c:v>
                </c:pt>
                <c:pt idx="379">
                  <c:v>1.4404698153178479E-9</c:v>
                </c:pt>
                <c:pt idx="380">
                  <c:v>1.4456180004550608E-9</c:v>
                </c:pt>
                <c:pt idx="381">
                  <c:v>1.4507733114458005E-9</c:v>
                </c:pt>
                <c:pt idx="382">
                  <c:v>1.4559357482900677E-9</c:v>
                </c:pt>
                <c:pt idx="383">
                  <c:v>1.4611053109878616E-9</c:v>
                </c:pt>
                <c:pt idx="384">
                  <c:v>1.4662819995391825E-9</c:v>
                </c:pt>
                <c:pt idx="385">
                  <c:v>1.4714658139440309E-9</c:v>
                </c:pt>
                <c:pt idx="386">
                  <c:v>1.4766567542024056E-9</c:v>
                </c:pt>
                <c:pt idx="387">
                  <c:v>1.4818548203143079E-9</c:v>
                </c:pt>
                <c:pt idx="388">
                  <c:v>1.4870600122797376E-9</c:v>
                </c:pt>
                <c:pt idx="389">
                  <c:v>1.4922723300986939E-9</c:v>
                </c:pt>
                <c:pt idx="390">
                  <c:v>1.497491773771177E-9</c:v>
                </c:pt>
                <c:pt idx="391">
                  <c:v>1.5027183432971872E-9</c:v>
                </c:pt>
                <c:pt idx="392">
                  <c:v>1.507952038676725E-9</c:v>
                </c:pt>
                <c:pt idx="393">
                  <c:v>1.5131928599097893E-9</c:v>
                </c:pt>
                <c:pt idx="394">
                  <c:v>1.5184408069963809E-9</c:v>
                </c:pt>
                <c:pt idx="395">
                  <c:v>1.5236958799364997E-9</c:v>
                </c:pt>
                <c:pt idx="396">
                  <c:v>1.5289580787301452E-9</c:v>
                </c:pt>
                <c:pt idx="397">
                  <c:v>1.534227403377318E-9</c:v>
                </c:pt>
                <c:pt idx="398">
                  <c:v>1.5395038538780178E-9</c:v>
                </c:pt>
                <c:pt idx="399">
                  <c:v>1.5447874302322443E-9</c:v>
                </c:pt>
                <c:pt idx="400">
                  <c:v>1.5500781324399984E-9</c:v>
                </c:pt>
                <c:pt idx="401">
                  <c:v>1.555375960501279E-9</c:v>
                </c:pt>
                <c:pt idx="402">
                  <c:v>1.5606809144160869E-9</c:v>
                </c:pt>
                <c:pt idx="403">
                  <c:v>1.5659929941844221E-9</c:v>
                </c:pt>
                <c:pt idx="404">
                  <c:v>1.5713121998062839E-9</c:v>
                </c:pt>
                <c:pt idx="405">
                  <c:v>1.576638531281673E-9</c:v>
                </c:pt>
                <c:pt idx="406">
                  <c:v>1.5819719886105891E-9</c:v>
                </c:pt>
                <c:pt idx="407">
                  <c:v>1.5873125717930329E-9</c:v>
                </c:pt>
                <c:pt idx="408">
                  <c:v>1.5926602808290029E-9</c:v>
                </c:pt>
                <c:pt idx="409">
                  <c:v>1.5980151157184997E-9</c:v>
                </c:pt>
                <c:pt idx="410">
                  <c:v>1.6033770764615243E-9</c:v>
                </c:pt>
                <c:pt idx="411">
                  <c:v>1.6087461630580759E-9</c:v>
                </c:pt>
                <c:pt idx="412">
                  <c:v>1.6141223755081539E-9</c:v>
                </c:pt>
                <c:pt idx="413">
                  <c:v>1.6195057138117598E-9</c:v>
                </c:pt>
                <c:pt idx="414">
                  <c:v>1.6248961779688921E-9</c:v>
                </c:pt>
                <c:pt idx="415">
                  <c:v>1.6302937679795518E-9</c:v>
                </c:pt>
                <c:pt idx="416">
                  <c:v>1.6356984838437382E-9</c:v>
                </c:pt>
                <c:pt idx="417">
                  <c:v>1.6411103255614518E-9</c:v>
                </c:pt>
                <c:pt idx="418">
                  <c:v>1.6465292931326931E-9</c:v>
                </c:pt>
                <c:pt idx="419">
                  <c:v>1.6519553865574605E-9</c:v>
                </c:pt>
                <c:pt idx="420">
                  <c:v>1.6573886058357555E-9</c:v>
                </c:pt>
                <c:pt idx="421">
                  <c:v>1.6628289509675772E-9</c:v>
                </c:pt>
                <c:pt idx="422">
                  <c:v>1.6682764219529262E-9</c:v>
                </c:pt>
                <c:pt idx="423">
                  <c:v>1.6737310187918022E-9</c:v>
                </c:pt>
                <c:pt idx="424">
                  <c:v>1.6791927414842049E-9</c:v>
                </c:pt>
                <c:pt idx="425">
                  <c:v>1.6846615900301351E-9</c:v>
                </c:pt>
                <c:pt idx="426">
                  <c:v>1.6901375644295923E-9</c:v>
                </c:pt>
                <c:pt idx="427">
                  <c:v>1.6956206646825766E-9</c:v>
                </c:pt>
                <c:pt idx="428">
                  <c:v>1.7011108907890877E-9</c:v>
                </c:pt>
                <c:pt idx="429">
                  <c:v>1.7066082427491259E-9</c:v>
                </c:pt>
                <c:pt idx="430">
                  <c:v>1.7121127205626912E-9</c:v>
                </c:pt>
                <c:pt idx="431">
                  <c:v>1.7176243242297834E-9</c:v>
                </c:pt>
                <c:pt idx="432">
                  <c:v>1.7231430537504028E-9</c:v>
                </c:pt>
                <c:pt idx="433">
                  <c:v>1.7286689091245496E-9</c:v>
                </c:pt>
                <c:pt idx="434">
                  <c:v>1.7342018903522226E-9</c:v>
                </c:pt>
                <c:pt idx="435">
                  <c:v>1.7397419974334232E-9</c:v>
                </c:pt>
                <c:pt idx="436">
                  <c:v>1.745289230368151E-9</c:v>
                </c:pt>
                <c:pt idx="437">
                  <c:v>1.7508435891564054E-9</c:v>
                </c:pt>
                <c:pt idx="438">
                  <c:v>1.7564050737981872E-9</c:v>
                </c:pt>
                <c:pt idx="439">
                  <c:v>1.7619736842934962E-9</c:v>
                </c:pt>
                <c:pt idx="440">
                  <c:v>1.7675494206423319E-9</c:v>
                </c:pt>
                <c:pt idx="441">
                  <c:v>1.7731322828446947E-9</c:v>
                </c:pt>
                <c:pt idx="442">
                  <c:v>1.7787222709005846E-9</c:v>
                </c:pt>
                <c:pt idx="443">
                  <c:v>1.7843193848100015E-9</c:v>
                </c:pt>
                <c:pt idx="444">
                  <c:v>1.7899236245729453E-9</c:v>
                </c:pt>
                <c:pt idx="445">
                  <c:v>1.7955349901894165E-9</c:v>
                </c:pt>
                <c:pt idx="446">
                  <c:v>1.8011534816594144E-9</c:v>
                </c:pt>
                <c:pt idx="447">
                  <c:v>1.8067790989829398E-9</c:v>
                </c:pt>
                <c:pt idx="448">
                  <c:v>1.8124118421599918E-9</c:v>
                </c:pt>
                <c:pt idx="449">
                  <c:v>1.8180517111905711E-9</c:v>
                </c:pt>
                <c:pt idx="450">
                  <c:v>1.8236987060746771E-9</c:v>
                </c:pt>
                <c:pt idx="451">
                  <c:v>1.8293528268123107E-9</c:v>
                </c:pt>
                <c:pt idx="452">
                  <c:v>1.8350140734034708E-9</c:v>
                </c:pt>
                <c:pt idx="453">
                  <c:v>1.8406824458481583E-9</c:v>
                </c:pt>
                <c:pt idx="454">
                  <c:v>1.846357944146373E-9</c:v>
                </c:pt>
                <c:pt idx="455">
                  <c:v>1.8520405682981144E-9</c:v>
                </c:pt>
                <c:pt idx="456">
                  <c:v>1.8577303183033828E-9</c:v>
                </c:pt>
                <c:pt idx="457">
                  <c:v>1.8634271941621782E-9</c:v>
                </c:pt>
                <c:pt idx="458">
                  <c:v>1.8691311958745013E-9</c:v>
                </c:pt>
                <c:pt idx="459">
                  <c:v>1.874842323440351E-9</c:v>
                </c:pt>
                <c:pt idx="460">
                  <c:v>1.880560576859728E-9</c:v>
                </c:pt>
                <c:pt idx="461">
                  <c:v>1.8862859561326315E-9</c:v>
                </c:pt>
                <c:pt idx="462">
                  <c:v>1.8920184612590624E-9</c:v>
                </c:pt>
                <c:pt idx="463">
                  <c:v>1.8977580922390202E-9</c:v>
                </c:pt>
                <c:pt idx="464">
                  <c:v>1.9035048490725049E-9</c:v>
                </c:pt>
                <c:pt idx="465">
                  <c:v>1.909258731759517E-9</c:v>
                </c:pt>
                <c:pt idx="466">
                  <c:v>1.915019740300056E-9</c:v>
                </c:pt>
                <c:pt idx="467">
                  <c:v>1.9207878746941228E-9</c:v>
                </c:pt>
                <c:pt idx="468">
                  <c:v>1.9265631349417152E-9</c:v>
                </c:pt>
                <c:pt idx="469">
                  <c:v>1.9323455210428354E-9</c:v>
                </c:pt>
                <c:pt idx="470">
                  <c:v>1.938135032997483E-9</c:v>
                </c:pt>
                <c:pt idx="471">
                  <c:v>1.9439316708056571E-9</c:v>
                </c:pt>
                <c:pt idx="472">
                  <c:v>1.9497354344673585E-9</c:v>
                </c:pt>
                <c:pt idx="473">
                  <c:v>1.9555463239825869E-9</c:v>
                </c:pt>
                <c:pt idx="474">
                  <c:v>1.9613643393513422E-9</c:v>
                </c:pt>
                <c:pt idx="475">
                  <c:v>1.9671894805736248E-9</c:v>
                </c:pt>
                <c:pt idx="476">
                  <c:v>1.973021747649434E-9</c:v>
                </c:pt>
                <c:pt idx="477">
                  <c:v>1.9788611405787709E-9</c:v>
                </c:pt>
                <c:pt idx="478">
                  <c:v>1.9847076593616347E-9</c:v>
                </c:pt>
                <c:pt idx="479">
                  <c:v>1.9905613039980255E-9</c:v>
                </c:pt>
                <c:pt idx="480">
                  <c:v>1.9964220744879428E-9</c:v>
                </c:pt>
                <c:pt idx="481">
                  <c:v>2.0022899708313874E-9</c:v>
                </c:pt>
                <c:pt idx="482">
                  <c:v>2.0081649930283594E-9</c:v>
                </c:pt>
                <c:pt idx="483">
                  <c:v>2.0140471410788583E-9</c:v>
                </c:pt>
                <c:pt idx="484">
                  <c:v>2.0199364149828842E-9</c:v>
                </c:pt>
                <c:pt idx="485">
                  <c:v>2.025832814740437E-9</c:v>
                </c:pt>
                <c:pt idx="486">
                  <c:v>2.0317363403515171E-9</c:v>
                </c:pt>
                <c:pt idx="487">
                  <c:v>2.0376469918161242E-9</c:v>
                </c:pt>
                <c:pt idx="488">
                  <c:v>2.0435647691342586E-9</c:v>
                </c:pt>
                <c:pt idx="489">
                  <c:v>2.0494896723059195E-9</c:v>
                </c:pt>
                <c:pt idx="490">
                  <c:v>2.0554217013311078E-9</c:v>
                </c:pt>
                <c:pt idx="491">
                  <c:v>2.061360856209823E-9</c:v>
                </c:pt>
                <c:pt idx="492">
                  <c:v>2.0673071369420655E-9</c:v>
                </c:pt>
                <c:pt idx="493">
                  <c:v>2.0732605435278346E-9</c:v>
                </c:pt>
                <c:pt idx="494">
                  <c:v>2.0792210759671306E-9</c:v>
                </c:pt>
                <c:pt idx="495">
                  <c:v>2.0851887342599548E-9</c:v>
                </c:pt>
                <c:pt idx="496">
                  <c:v>2.091163518406305E-9</c:v>
                </c:pt>
                <c:pt idx="497">
                  <c:v>2.0971454284061827E-9</c:v>
                </c:pt>
                <c:pt idx="498">
                  <c:v>2.1031344642595872E-9</c:v>
                </c:pt>
                <c:pt idx="499">
                  <c:v>2.1091306259665191E-9</c:v>
                </c:pt>
                <c:pt idx="500">
                  <c:v>2.1151339135269775E-9</c:v>
                </c:pt>
                <c:pt idx="501">
                  <c:v>2.1211443269409629E-9</c:v>
                </c:pt>
                <c:pt idx="502">
                  <c:v>2.1271618662084764E-9</c:v>
                </c:pt>
                <c:pt idx="503">
                  <c:v>2.133186531329516E-9</c:v>
                </c:pt>
                <c:pt idx="504">
                  <c:v>2.139218322304083E-9</c:v>
                </c:pt>
                <c:pt idx="505">
                  <c:v>2.1452572391321765E-9</c:v>
                </c:pt>
                <c:pt idx="506">
                  <c:v>2.1513032818137977E-9</c:v>
                </c:pt>
                <c:pt idx="507">
                  <c:v>2.1573564503489459E-9</c:v>
                </c:pt>
                <c:pt idx="508">
                  <c:v>2.163416744737621E-9</c:v>
                </c:pt>
                <c:pt idx="509">
                  <c:v>2.1694841649798227E-9</c:v>
                </c:pt>
                <c:pt idx="510">
                  <c:v>2.1755587110755521E-9</c:v>
                </c:pt>
                <c:pt idx="511">
                  <c:v>2.1816403830248084E-9</c:v>
                </c:pt>
                <c:pt idx="512">
                  <c:v>2.1877291808275916E-9</c:v>
                </c:pt>
                <c:pt idx="513">
                  <c:v>2.1938251044839022E-9</c:v>
                </c:pt>
                <c:pt idx="514">
                  <c:v>2.1999281539937394E-9</c:v>
                </c:pt>
                <c:pt idx="515">
                  <c:v>2.2060383293571038E-9</c:v>
                </c:pt>
                <c:pt idx="516">
                  <c:v>2.2121556305739952E-9</c:v>
                </c:pt>
                <c:pt idx="517">
                  <c:v>2.218280057644414E-9</c:v>
                </c:pt>
                <c:pt idx="518">
                  <c:v>2.2244116105683592E-9</c:v>
                </c:pt>
                <c:pt idx="519">
                  <c:v>2.2305502893458322E-9</c:v>
                </c:pt>
                <c:pt idx="520">
                  <c:v>2.2366960939768318E-9</c:v>
                </c:pt>
                <c:pt idx="521">
                  <c:v>2.2428490244613582E-9</c:v>
                </c:pt>
                <c:pt idx="522">
                  <c:v>2.2490090807994121E-9</c:v>
                </c:pt>
                <c:pt idx="523">
                  <c:v>2.2551762629909928E-9</c:v>
                </c:pt>
                <c:pt idx="524">
                  <c:v>2.2613505710361005E-9</c:v>
                </c:pt>
                <c:pt idx="525">
                  <c:v>2.2675320049347359E-9</c:v>
                </c:pt>
                <c:pt idx="526">
                  <c:v>2.2737205646868979E-9</c:v>
                </c:pt>
                <c:pt idx="527">
                  <c:v>2.2799162502925864E-9</c:v>
                </c:pt>
                <c:pt idx="528">
                  <c:v>2.2861190617518026E-9</c:v>
                </c:pt>
                <c:pt idx="529">
                  <c:v>2.2923289990645458E-9</c:v>
                </c:pt>
                <c:pt idx="530">
                  <c:v>2.2985460622308163E-9</c:v>
                </c:pt>
                <c:pt idx="531">
                  <c:v>2.3047702512506133E-9</c:v>
                </c:pt>
                <c:pt idx="532">
                  <c:v>2.3110015661239377E-9</c:v>
                </c:pt>
                <c:pt idx="533">
                  <c:v>2.3172400068507886E-9</c:v>
                </c:pt>
                <c:pt idx="534">
                  <c:v>2.3234855734311672E-9</c:v>
                </c:pt>
                <c:pt idx="535">
                  <c:v>2.3297382658650724E-9</c:v>
                </c:pt>
                <c:pt idx="536">
                  <c:v>2.3359980841525049E-9</c:v>
                </c:pt>
                <c:pt idx="537">
                  <c:v>2.3422650282934644E-9</c:v>
                </c:pt>
                <c:pt idx="538">
                  <c:v>2.3485390982879507E-9</c:v>
                </c:pt>
                <c:pt idx="539">
                  <c:v>2.3548202941359645E-9</c:v>
                </c:pt>
                <c:pt idx="540">
                  <c:v>2.3611086158375047E-9</c:v>
                </c:pt>
                <c:pt idx="541">
                  <c:v>2.3674040633925727E-9</c:v>
                </c:pt>
                <c:pt idx="542">
                  <c:v>2.3737066368011677E-9</c:v>
                </c:pt>
                <c:pt idx="543">
                  <c:v>2.3800163360632895E-9</c:v>
                </c:pt>
                <c:pt idx="544">
                  <c:v>2.3863331611789383E-9</c:v>
                </c:pt>
                <c:pt idx="545">
                  <c:v>2.3926571121481141E-9</c:v>
                </c:pt>
                <c:pt idx="546">
                  <c:v>2.3989881889708167E-9</c:v>
                </c:pt>
                <c:pt idx="547">
                  <c:v>2.4053263916470467E-9</c:v>
                </c:pt>
                <c:pt idx="548">
                  <c:v>2.4116717201768041E-9</c:v>
                </c:pt>
                <c:pt idx="549">
                  <c:v>2.4180241745600884E-9</c:v>
                </c:pt>
                <c:pt idx="550">
                  <c:v>2.4243837547968992E-9</c:v>
                </c:pt>
                <c:pt idx="551">
                  <c:v>2.4307504608872369E-9</c:v>
                </c:pt>
                <c:pt idx="552">
                  <c:v>2.4371242928311028E-9</c:v>
                </c:pt>
                <c:pt idx="553">
                  <c:v>2.4435052506284948E-9</c:v>
                </c:pt>
                <c:pt idx="554">
                  <c:v>2.4498933342794142E-9</c:v>
                </c:pt>
                <c:pt idx="555">
                  <c:v>2.4562885437838605E-9</c:v>
                </c:pt>
                <c:pt idx="556">
                  <c:v>2.4626908791418337E-9</c:v>
                </c:pt>
                <c:pt idx="557">
                  <c:v>2.4691003403533343E-9</c:v>
                </c:pt>
                <c:pt idx="558">
                  <c:v>2.4755169274183622E-9</c:v>
                </c:pt>
                <c:pt idx="559">
                  <c:v>2.4819406403369162E-9</c:v>
                </c:pt>
                <c:pt idx="560">
                  <c:v>2.4883714791089984E-9</c:v>
                </c:pt>
                <c:pt idx="561">
                  <c:v>2.4948094437346067E-9</c:v>
                </c:pt>
                <c:pt idx="562">
                  <c:v>2.5012545342137423E-9</c:v>
                </c:pt>
                <c:pt idx="563">
                  <c:v>2.5077067505464049E-9</c:v>
                </c:pt>
                <c:pt idx="564">
                  <c:v>2.5141660927325948E-9</c:v>
                </c:pt>
                <c:pt idx="565">
                  <c:v>2.5206325607723121E-9</c:v>
                </c:pt>
                <c:pt idx="566">
                  <c:v>2.5271061546655559E-9</c:v>
                </c:pt>
                <c:pt idx="567">
                  <c:v>2.5335868744123266E-9</c:v>
                </c:pt>
                <c:pt idx="568">
                  <c:v>2.5400747200126247E-9</c:v>
                </c:pt>
                <c:pt idx="569">
                  <c:v>2.5465696914664501E-9</c:v>
                </c:pt>
                <c:pt idx="570">
                  <c:v>2.553071788773802E-9</c:v>
                </c:pt>
                <c:pt idx="571">
                  <c:v>2.5595810119346813E-9</c:v>
                </c:pt>
                <c:pt idx="572">
                  <c:v>2.5660973609490871E-9</c:v>
                </c:pt>
                <c:pt idx="573">
                  <c:v>2.5726208358170202E-9</c:v>
                </c:pt>
                <c:pt idx="574">
                  <c:v>2.5791514365384807E-9</c:v>
                </c:pt>
                <c:pt idx="575">
                  <c:v>2.5856891631134681E-9</c:v>
                </c:pt>
                <c:pt idx="576">
                  <c:v>2.5922340155419824E-9</c:v>
                </c:pt>
                <c:pt idx="577">
                  <c:v>2.5987859938240237E-9</c:v>
                </c:pt>
                <c:pt idx="578">
                  <c:v>2.6053450979595919E-9</c:v>
                </c:pt>
                <c:pt idx="579">
                  <c:v>2.6119113279486879E-9</c:v>
                </c:pt>
                <c:pt idx="580">
                  <c:v>2.6184846837913104E-9</c:v>
                </c:pt>
                <c:pt idx="581">
                  <c:v>2.6250651654874602E-9</c:v>
                </c:pt>
                <c:pt idx="582">
                  <c:v>2.6316527730371366E-9</c:v>
                </c:pt>
                <c:pt idx="583">
                  <c:v>2.6382475064403403E-9</c:v>
                </c:pt>
                <c:pt idx="584">
                  <c:v>2.6448493656970713E-9</c:v>
                </c:pt>
                <c:pt idx="585">
                  <c:v>2.6514583508073289E-9</c:v>
                </c:pt>
                <c:pt idx="586">
                  <c:v>2.6580744617711142E-9</c:v>
                </c:pt>
                <c:pt idx="587">
                  <c:v>2.664697698588426E-9</c:v>
                </c:pt>
                <c:pt idx="588">
                  <c:v>2.6713280612592644E-9</c:v>
                </c:pt>
                <c:pt idx="589">
                  <c:v>2.6779655497836309E-9</c:v>
                </c:pt>
                <c:pt idx="590">
                  <c:v>2.6846101641615239E-9</c:v>
                </c:pt>
                <c:pt idx="591">
                  <c:v>2.6912619043929439E-9</c:v>
                </c:pt>
                <c:pt idx="592">
                  <c:v>2.6979207704778912E-9</c:v>
                </c:pt>
                <c:pt idx="593">
                  <c:v>2.7045867624163651E-9</c:v>
                </c:pt>
                <c:pt idx="594">
                  <c:v>2.7112598802083671E-9</c:v>
                </c:pt>
                <c:pt idx="595">
                  <c:v>2.7179401238538952E-9</c:v>
                </c:pt>
                <c:pt idx="596">
                  <c:v>2.7246274933529503E-9</c:v>
                </c:pt>
                <c:pt idx="597">
                  <c:v>2.7313219887055327E-9</c:v>
                </c:pt>
                <c:pt idx="598">
                  <c:v>2.738023609911642E-9</c:v>
                </c:pt>
                <c:pt idx="599">
                  <c:v>2.7447323569712787E-9</c:v>
                </c:pt>
                <c:pt idx="600">
                  <c:v>2.7514482298844423E-9</c:v>
                </c:pt>
                <c:pt idx="601">
                  <c:v>2.7581712286511328E-9</c:v>
                </c:pt>
                <c:pt idx="602">
                  <c:v>2.7649013532713507E-9</c:v>
                </c:pt>
                <c:pt idx="603">
                  <c:v>2.7716386037450951E-9</c:v>
                </c:pt>
                <c:pt idx="604">
                  <c:v>2.7783829800723668E-9</c:v>
                </c:pt>
                <c:pt idx="605">
                  <c:v>2.7851344822531655E-9</c:v>
                </c:pt>
                <c:pt idx="606">
                  <c:v>2.791893110287492E-9</c:v>
                </c:pt>
                <c:pt idx="607">
                  <c:v>2.7986588641753445E-9</c:v>
                </c:pt>
                <c:pt idx="608">
                  <c:v>2.8054317439167244E-9</c:v>
                </c:pt>
                <c:pt idx="609">
                  <c:v>2.8122117495116316E-9</c:v>
                </c:pt>
                <c:pt idx="610">
                  <c:v>2.818998880960065E-9</c:v>
                </c:pt>
                <c:pt idx="611">
                  <c:v>2.8257931382620269E-9</c:v>
                </c:pt>
                <c:pt idx="612">
                  <c:v>2.8325945214175145E-9</c:v>
                </c:pt>
                <c:pt idx="613">
                  <c:v>2.8394030304265291E-9</c:v>
                </c:pt>
                <c:pt idx="614">
                  <c:v>2.8462186652890718E-9</c:v>
                </c:pt>
                <c:pt idx="615">
                  <c:v>2.8530414260051414E-9</c:v>
                </c:pt>
                <c:pt idx="616">
                  <c:v>2.8598713125747376E-9</c:v>
                </c:pt>
                <c:pt idx="617">
                  <c:v>2.8667083249978607E-9</c:v>
                </c:pt>
                <c:pt idx="618">
                  <c:v>2.8735524632745116E-9</c:v>
                </c:pt>
                <c:pt idx="619">
                  <c:v>2.880403727404689E-9</c:v>
                </c:pt>
                <c:pt idx="620">
                  <c:v>2.8872621173883937E-9</c:v>
                </c:pt>
                <c:pt idx="621">
                  <c:v>2.8941276332256253E-9</c:v>
                </c:pt>
                <c:pt idx="622">
                  <c:v>2.9010002749163831E-9</c:v>
                </c:pt>
                <c:pt idx="623">
                  <c:v>2.907880042460669E-9</c:v>
                </c:pt>
                <c:pt idx="624">
                  <c:v>2.9147669358584819E-9</c:v>
                </c:pt>
                <c:pt idx="625">
                  <c:v>2.9216609551098217E-9</c:v>
                </c:pt>
                <c:pt idx="626">
                  <c:v>2.9285621002146888E-9</c:v>
                </c:pt>
                <c:pt idx="627">
                  <c:v>2.9354703711730821E-9</c:v>
                </c:pt>
                <c:pt idx="628">
                  <c:v>2.9423857679850031E-9</c:v>
                </c:pt>
                <c:pt idx="629">
                  <c:v>2.9493082906504515E-9</c:v>
                </c:pt>
                <c:pt idx="630">
                  <c:v>2.9562379391694263E-9</c:v>
                </c:pt>
                <c:pt idx="631">
                  <c:v>2.9631747135419281E-9</c:v>
                </c:pt>
                <c:pt idx="632">
                  <c:v>2.9701186137679569E-9</c:v>
                </c:pt>
                <c:pt idx="633">
                  <c:v>2.9770696398475134E-9</c:v>
                </c:pt>
                <c:pt idx="634">
                  <c:v>2.9840277917805964E-9</c:v>
                </c:pt>
                <c:pt idx="635">
                  <c:v>2.9909930695672068E-9</c:v>
                </c:pt>
                <c:pt idx="636">
                  <c:v>2.997965473207344E-9</c:v>
                </c:pt>
                <c:pt idx="637">
                  <c:v>3.0049450027010087E-9</c:v>
                </c:pt>
                <c:pt idx="638">
                  <c:v>3.0119316580481998E-9</c:v>
                </c:pt>
                <c:pt idx="639">
                  <c:v>3.0189254392489179E-9</c:v>
                </c:pt>
                <c:pt idx="640">
                  <c:v>3.0259263463031642E-9</c:v>
                </c:pt>
                <c:pt idx="641">
                  <c:v>3.0329343792109361E-9</c:v>
                </c:pt>
                <c:pt idx="642">
                  <c:v>3.0399495379722359E-9</c:v>
                </c:pt>
                <c:pt idx="643">
                  <c:v>3.0469718225870625E-9</c:v>
                </c:pt>
                <c:pt idx="644">
                  <c:v>3.0540012330554157E-9</c:v>
                </c:pt>
                <c:pt idx="645">
                  <c:v>3.061037769377297E-9</c:v>
                </c:pt>
                <c:pt idx="646">
                  <c:v>3.0680814315527048E-9</c:v>
                </c:pt>
                <c:pt idx="647">
                  <c:v>3.07513221958164E-9</c:v>
                </c:pt>
                <c:pt idx="648">
                  <c:v>3.0821901334641013E-9</c:v>
                </c:pt>
                <c:pt idx="649">
                  <c:v>3.0892551732000908E-9</c:v>
                </c:pt>
                <c:pt idx="650">
                  <c:v>3.0963273387896068E-9</c:v>
                </c:pt>
                <c:pt idx="651">
                  <c:v>3.1034066302326497E-9</c:v>
                </c:pt>
                <c:pt idx="652">
                  <c:v>3.1104930475292192E-9</c:v>
                </c:pt>
                <c:pt idx="653">
                  <c:v>3.117586590679316E-9</c:v>
                </c:pt>
                <c:pt idx="654">
                  <c:v>3.1246872596829409E-9</c:v>
                </c:pt>
                <c:pt idx="655">
                  <c:v>3.1317950545400924E-9</c:v>
                </c:pt>
                <c:pt idx="656">
                  <c:v>3.1389099752507704E-9</c:v>
                </c:pt>
                <c:pt idx="657">
                  <c:v>3.1460320218149758E-9</c:v>
                </c:pt>
                <c:pt idx="658">
                  <c:v>3.153161194232708E-9</c:v>
                </c:pt>
                <c:pt idx="659">
                  <c:v>3.1602974925039677E-9</c:v>
                </c:pt>
                <c:pt idx="660">
                  <c:v>3.1674409166287542E-9</c:v>
                </c:pt>
                <c:pt idx="661">
                  <c:v>3.1745914666070673E-9</c:v>
                </c:pt>
                <c:pt idx="662">
                  <c:v>3.1817491424389077E-9</c:v>
                </c:pt>
                <c:pt idx="663">
                  <c:v>3.1889139441242755E-9</c:v>
                </c:pt>
                <c:pt idx="664">
                  <c:v>3.1960858716631702E-9</c:v>
                </c:pt>
                <c:pt idx="665">
                  <c:v>3.2032649250555922E-9</c:v>
                </c:pt>
                <c:pt idx="666">
                  <c:v>3.2104511043015403E-9</c:v>
                </c:pt>
                <c:pt idx="667">
                  <c:v>3.2176444094010167E-9</c:v>
                </c:pt>
                <c:pt idx="668">
                  <c:v>3.2248448403540187E-9</c:v>
                </c:pt>
                <c:pt idx="669">
                  <c:v>3.2320523971605489E-9</c:v>
                </c:pt>
                <c:pt idx="670">
                  <c:v>3.2392670798206064E-9</c:v>
                </c:pt>
                <c:pt idx="671">
                  <c:v>3.24648888833419E-9</c:v>
                </c:pt>
                <c:pt idx="672">
                  <c:v>3.253717822701301E-9</c:v>
                </c:pt>
                <c:pt idx="673">
                  <c:v>3.2609538829219389E-9</c:v>
                </c:pt>
                <c:pt idx="674">
                  <c:v>3.2681970689961046E-9</c:v>
                </c:pt>
                <c:pt idx="675">
                  <c:v>3.2754473809237964E-9</c:v>
                </c:pt>
                <c:pt idx="676">
                  <c:v>3.2827048187050155E-9</c:v>
                </c:pt>
                <c:pt idx="677">
                  <c:v>3.2899693823397623E-9</c:v>
                </c:pt>
                <c:pt idx="678">
                  <c:v>3.2972410718280349E-9</c:v>
                </c:pt>
                <c:pt idx="679">
                  <c:v>3.3045198871698357E-9</c:v>
                </c:pt>
                <c:pt idx="680">
                  <c:v>3.3118058283651633E-9</c:v>
                </c:pt>
                <c:pt idx="681">
                  <c:v>3.3190988954140184E-9</c:v>
                </c:pt>
                <c:pt idx="682">
                  <c:v>3.3263990883163991E-9</c:v>
                </c:pt>
                <c:pt idx="683">
                  <c:v>3.3337064070723071E-9</c:v>
                </c:pt>
                <c:pt idx="684">
                  <c:v>3.3410208516817438E-9</c:v>
                </c:pt>
                <c:pt idx="685">
                  <c:v>3.3483424221447057E-9</c:v>
                </c:pt>
                <c:pt idx="686">
                  <c:v>3.3556711184611958E-9</c:v>
                </c:pt>
                <c:pt idx="687">
                  <c:v>3.3630069406312124E-9</c:v>
                </c:pt>
                <c:pt idx="688">
                  <c:v>3.3703498886547568E-9</c:v>
                </c:pt>
                <c:pt idx="689">
                  <c:v>3.3776999625318272E-9</c:v>
                </c:pt>
                <c:pt idx="690">
                  <c:v>3.3850571622624251E-9</c:v>
                </c:pt>
                <c:pt idx="691">
                  <c:v>3.3924214878465498E-9</c:v>
                </c:pt>
                <c:pt idx="692">
                  <c:v>3.3997929392842019E-9</c:v>
                </c:pt>
                <c:pt idx="693">
                  <c:v>3.4071715165753814E-9</c:v>
                </c:pt>
                <c:pt idx="694">
                  <c:v>3.4145572197200877E-9</c:v>
                </c:pt>
                <c:pt idx="695">
                  <c:v>3.4219500487183202E-9</c:v>
                </c:pt>
                <c:pt idx="696">
                  <c:v>3.4293500035700813E-9</c:v>
                </c:pt>
                <c:pt idx="697">
                  <c:v>3.4367570842753676E-9</c:v>
                </c:pt>
                <c:pt idx="698">
                  <c:v>3.4441712908341821E-9</c:v>
                </c:pt>
                <c:pt idx="699">
                  <c:v>3.4515926232465232E-9</c:v>
                </c:pt>
                <c:pt idx="700">
                  <c:v>3.4590210815123924E-9</c:v>
                </c:pt>
                <c:pt idx="701">
                  <c:v>3.4664566656317877E-9</c:v>
                </c:pt>
                <c:pt idx="702">
                  <c:v>3.4738993756047095E-9</c:v>
                </c:pt>
                <c:pt idx="703">
                  <c:v>3.4813492114311591E-9</c:v>
                </c:pt>
                <c:pt idx="704">
                  <c:v>3.4888061731111365E-9</c:v>
                </c:pt>
                <c:pt idx="705">
                  <c:v>3.4962702606446399E-9</c:v>
                </c:pt>
                <c:pt idx="706">
                  <c:v>3.5037414740316703E-9</c:v>
                </c:pt>
                <c:pt idx="707">
                  <c:v>3.5112198132722285E-9</c:v>
                </c:pt>
                <c:pt idx="708">
                  <c:v>3.5187052783663127E-9</c:v>
                </c:pt>
                <c:pt idx="709">
                  <c:v>3.5261978693139247E-9</c:v>
                </c:pt>
                <c:pt idx="710">
                  <c:v>3.5336975861150637E-9</c:v>
                </c:pt>
                <c:pt idx="711">
                  <c:v>3.5412044287697295E-9</c:v>
                </c:pt>
                <c:pt idx="712">
                  <c:v>3.5487183972779223E-9</c:v>
                </c:pt>
                <c:pt idx="713">
                  <c:v>3.5562394916396429E-9</c:v>
                </c:pt>
                <c:pt idx="714">
                  <c:v>3.5637677118548896E-9</c:v>
                </c:pt>
                <c:pt idx="715">
                  <c:v>3.571303057923664E-9</c:v>
                </c:pt>
                <c:pt idx="716">
                  <c:v>3.5788455298459654E-9</c:v>
                </c:pt>
                <c:pt idx="717">
                  <c:v>3.5863951276217937E-9</c:v>
                </c:pt>
                <c:pt idx="718">
                  <c:v>3.5939518512511489E-9</c:v>
                </c:pt>
                <c:pt idx="719">
                  <c:v>3.601515700734031E-9</c:v>
                </c:pt>
                <c:pt idx="720">
                  <c:v>3.6090866760704401E-9</c:v>
                </c:pt>
                <c:pt idx="721">
                  <c:v>3.616664777260377E-9</c:v>
                </c:pt>
                <c:pt idx="722">
                  <c:v>3.6242500043038399E-9</c:v>
                </c:pt>
                <c:pt idx="723">
                  <c:v>3.6318423572008306E-9</c:v>
                </c:pt>
                <c:pt idx="724">
                  <c:v>3.6394418359513487E-9</c:v>
                </c:pt>
                <c:pt idx="725">
                  <c:v>3.6470484405553924E-9</c:v>
                </c:pt>
                <c:pt idx="726">
                  <c:v>3.6546621710129648E-9</c:v>
                </c:pt>
                <c:pt idx="727">
                  <c:v>3.6622830273240632E-9</c:v>
                </c:pt>
                <c:pt idx="728">
                  <c:v>3.6699110094886886E-9</c:v>
                </c:pt>
                <c:pt idx="729">
                  <c:v>3.6775461175068421E-9</c:v>
                </c:pt>
                <c:pt idx="730">
                  <c:v>3.6851883513785218E-9</c:v>
                </c:pt>
                <c:pt idx="731">
                  <c:v>3.6928377111037284E-9</c:v>
                </c:pt>
                <c:pt idx="732">
                  <c:v>3.7004941966824623E-9</c:v>
                </c:pt>
                <c:pt idx="733">
                  <c:v>3.7081578081147231E-9</c:v>
                </c:pt>
                <c:pt idx="734">
                  <c:v>3.7158285454005118E-9</c:v>
                </c:pt>
                <c:pt idx="735">
                  <c:v>3.7235064085398265E-9</c:v>
                </c:pt>
                <c:pt idx="736">
                  <c:v>3.7311913975326686E-9</c:v>
                </c:pt>
                <c:pt idx="737">
                  <c:v>3.738883512379038E-9</c:v>
                </c:pt>
                <c:pt idx="738">
                  <c:v>3.7465827530789339E-9</c:v>
                </c:pt>
                <c:pt idx="739">
                  <c:v>3.7542891196323572E-9</c:v>
                </c:pt>
                <c:pt idx="740">
                  <c:v>3.7620026120393078E-9</c:v>
                </c:pt>
                <c:pt idx="741">
                  <c:v>3.7697232302997849E-9</c:v>
                </c:pt>
                <c:pt idx="742">
                  <c:v>3.7774509744137894E-9</c:v>
                </c:pt>
                <c:pt idx="743">
                  <c:v>3.7851858443813213E-9</c:v>
                </c:pt>
                <c:pt idx="744">
                  <c:v>3.7929278402023804E-9</c:v>
                </c:pt>
                <c:pt idx="745">
                  <c:v>3.8006769618769653E-9</c:v>
                </c:pt>
                <c:pt idx="746">
                  <c:v>3.8084332094050783E-9</c:v>
                </c:pt>
                <c:pt idx="747">
                  <c:v>3.8161965827867171E-9</c:v>
                </c:pt>
                <c:pt idx="748">
                  <c:v>3.823967082021884E-9</c:v>
                </c:pt>
                <c:pt idx="749">
                  <c:v>3.8317447071105782E-9</c:v>
                </c:pt>
                <c:pt idx="750">
                  <c:v>3.839529458052799E-9</c:v>
                </c:pt>
                <c:pt idx="751">
                  <c:v>3.8473213348485463E-9</c:v>
                </c:pt>
                <c:pt idx="752">
                  <c:v>3.8551203374978217E-9</c:v>
                </c:pt>
                <c:pt idx="753">
                  <c:v>3.8629264660006237E-9</c:v>
                </c:pt>
                <c:pt idx="754">
                  <c:v>3.8707397203569531E-9</c:v>
                </c:pt>
                <c:pt idx="755">
                  <c:v>3.8785601005668089E-9</c:v>
                </c:pt>
                <c:pt idx="756">
                  <c:v>3.8863876066301921E-9</c:v>
                </c:pt>
                <c:pt idx="757">
                  <c:v>3.8942222385471018E-9</c:v>
                </c:pt>
                <c:pt idx="758">
                  <c:v>3.9020639963175397E-9</c:v>
                </c:pt>
                <c:pt idx="759">
                  <c:v>3.9099128799415032E-9</c:v>
                </c:pt>
                <c:pt idx="760">
                  <c:v>3.9177688894189958E-9</c:v>
                </c:pt>
                <c:pt idx="761">
                  <c:v>3.9256320247500132E-9</c:v>
                </c:pt>
                <c:pt idx="762">
                  <c:v>3.9335022859345588E-9</c:v>
                </c:pt>
                <c:pt idx="763">
                  <c:v>3.941379672972631E-9</c:v>
                </c:pt>
                <c:pt idx="764">
                  <c:v>3.9492641858642313E-9</c:v>
                </c:pt>
                <c:pt idx="765">
                  <c:v>3.9571558246093573E-9</c:v>
                </c:pt>
                <c:pt idx="766">
                  <c:v>3.9650545892080114E-9</c:v>
                </c:pt>
                <c:pt idx="767">
                  <c:v>3.9729604796601913E-9</c:v>
                </c:pt>
                <c:pt idx="768">
                  <c:v>3.9808734959658993E-9</c:v>
                </c:pt>
                <c:pt idx="769">
                  <c:v>3.9887936381251338E-9</c:v>
                </c:pt>
                <c:pt idx="770">
                  <c:v>3.9967209061378957E-9</c:v>
                </c:pt>
                <c:pt idx="771">
                  <c:v>4.0046553000041858E-9</c:v>
                </c:pt>
                <c:pt idx="772">
                  <c:v>4.0125968197240007E-9</c:v>
                </c:pt>
                <c:pt idx="773">
                  <c:v>4.020545465297343E-9</c:v>
                </c:pt>
                <c:pt idx="774">
                  <c:v>4.0285012367242126E-9</c:v>
                </c:pt>
                <c:pt idx="775">
                  <c:v>4.0364641340046112E-9</c:v>
                </c:pt>
                <c:pt idx="776">
                  <c:v>4.0444341571385347E-9</c:v>
                </c:pt>
                <c:pt idx="777">
                  <c:v>4.0524113061259855E-9</c:v>
                </c:pt>
                <c:pt idx="778">
                  <c:v>4.0603955809669637E-9</c:v>
                </c:pt>
                <c:pt idx="779">
                  <c:v>4.0683869816614692E-9</c:v>
                </c:pt>
                <c:pt idx="780">
                  <c:v>4.0763855082095013E-9</c:v>
                </c:pt>
                <c:pt idx="781">
                  <c:v>4.0843911606110606E-9</c:v>
                </c:pt>
                <c:pt idx="782">
                  <c:v>4.0924039388661474E-9</c:v>
                </c:pt>
                <c:pt idx="783">
                  <c:v>4.1004238429747598E-9</c:v>
                </c:pt>
                <c:pt idx="784">
                  <c:v>4.1084508729369012E-9</c:v>
                </c:pt>
                <c:pt idx="785">
                  <c:v>4.1164850287525675E-9</c:v>
                </c:pt>
                <c:pt idx="786">
                  <c:v>4.1245263104217636E-9</c:v>
                </c:pt>
                <c:pt idx="787">
                  <c:v>4.1325747179444854E-9</c:v>
                </c:pt>
                <c:pt idx="788">
                  <c:v>4.1406302513207329E-9</c:v>
                </c:pt>
                <c:pt idx="789">
                  <c:v>4.1486929105505094E-9</c:v>
                </c:pt>
                <c:pt idx="790">
                  <c:v>4.1567626956338124E-9</c:v>
                </c:pt>
                <c:pt idx="791">
                  <c:v>4.1648396065706419E-9</c:v>
                </c:pt>
                <c:pt idx="792">
                  <c:v>4.1729236433609988E-9</c:v>
                </c:pt>
                <c:pt idx="793">
                  <c:v>4.1810148060048822E-9</c:v>
                </c:pt>
                <c:pt idx="794">
                  <c:v>4.1891130945022929E-9</c:v>
                </c:pt>
                <c:pt idx="795">
                  <c:v>4.197218508853231E-9</c:v>
                </c:pt>
                <c:pt idx="796">
                  <c:v>4.2053310490576973E-9</c:v>
                </c:pt>
                <c:pt idx="797">
                  <c:v>4.2134507151156884E-9</c:v>
                </c:pt>
                <c:pt idx="798">
                  <c:v>4.2215775070272077E-9</c:v>
                </c:pt>
                <c:pt idx="799">
                  <c:v>4.2297114247922543E-9</c:v>
                </c:pt>
                <c:pt idx="800">
                  <c:v>4.2378524684108275E-9</c:v>
                </c:pt>
                <c:pt idx="801">
                  <c:v>4.246000637882928E-9</c:v>
                </c:pt>
                <c:pt idx="802">
                  <c:v>4.254155933208555E-9</c:v>
                </c:pt>
                <c:pt idx="803">
                  <c:v>4.2623183543877094E-9</c:v>
                </c:pt>
                <c:pt idx="804">
                  <c:v>4.2704879014203911E-9</c:v>
                </c:pt>
                <c:pt idx="805">
                  <c:v>4.2786645743065985E-9</c:v>
                </c:pt>
                <c:pt idx="806">
                  <c:v>4.2868483730463357E-9</c:v>
                </c:pt>
                <c:pt idx="807">
                  <c:v>4.295039297639597E-9</c:v>
                </c:pt>
                <c:pt idx="808">
                  <c:v>4.3032373480863872E-9</c:v>
                </c:pt>
                <c:pt idx="809">
                  <c:v>4.311442524386704E-9</c:v>
                </c:pt>
                <c:pt idx="810">
                  <c:v>4.3196548265405473E-9</c:v>
                </c:pt>
                <c:pt idx="811">
                  <c:v>4.327874254547918E-9</c:v>
                </c:pt>
                <c:pt idx="812">
                  <c:v>4.336100808408816E-9</c:v>
                </c:pt>
                <c:pt idx="813">
                  <c:v>4.3443344881232405E-9</c:v>
                </c:pt>
                <c:pt idx="814">
                  <c:v>4.3525752936911932E-9</c:v>
                </c:pt>
                <c:pt idx="815">
                  <c:v>4.3608232251126724E-9</c:v>
                </c:pt>
                <c:pt idx="816">
                  <c:v>4.3690782823876781E-9</c:v>
                </c:pt>
                <c:pt idx="817">
                  <c:v>4.3773404655162112E-9</c:v>
                </c:pt>
                <c:pt idx="818">
                  <c:v>4.3856097744982716E-9</c:v>
                </c:pt>
                <c:pt idx="819">
                  <c:v>4.3938862093338577E-9</c:v>
                </c:pt>
                <c:pt idx="820">
                  <c:v>4.4021697700229728E-9</c:v>
                </c:pt>
                <c:pt idx="821">
                  <c:v>4.4104604565656144E-9</c:v>
                </c:pt>
                <c:pt idx="822">
                  <c:v>4.4187582689617826E-9</c:v>
                </c:pt>
                <c:pt idx="823">
                  <c:v>4.4270632072114772E-9</c:v>
                </c:pt>
                <c:pt idx="824">
                  <c:v>4.4353752713147009E-9</c:v>
                </c:pt>
                <c:pt idx="825">
                  <c:v>4.4436944612714494E-9</c:v>
                </c:pt>
                <c:pt idx="826">
                  <c:v>4.4520207770817261E-9</c:v>
                </c:pt>
                <c:pt idx="827">
                  <c:v>4.4603542187455285E-9</c:v>
                </c:pt>
                <c:pt idx="828">
                  <c:v>4.4686947862628607E-9</c:v>
                </c:pt>
                <c:pt idx="829">
                  <c:v>4.4770424796337178E-9</c:v>
                </c:pt>
                <c:pt idx="830">
                  <c:v>4.485397298858103E-9</c:v>
                </c:pt>
                <c:pt idx="831">
                  <c:v>4.493759243936014E-9</c:v>
                </c:pt>
                <c:pt idx="832">
                  <c:v>4.5021283148674531E-9</c:v>
                </c:pt>
                <c:pt idx="833">
                  <c:v>4.5105045116524195E-9</c:v>
                </c:pt>
                <c:pt idx="834">
                  <c:v>4.5188878342909125E-9</c:v>
                </c:pt>
                <c:pt idx="835">
                  <c:v>4.5272782827829312E-9</c:v>
                </c:pt>
                <c:pt idx="836">
                  <c:v>4.5356758571284797E-9</c:v>
                </c:pt>
                <c:pt idx="837">
                  <c:v>4.544080557327553E-9</c:v>
                </c:pt>
                <c:pt idx="838">
                  <c:v>4.5524923833801538E-9</c:v>
                </c:pt>
                <c:pt idx="839">
                  <c:v>4.5609113352862818E-9</c:v>
                </c:pt>
                <c:pt idx="840">
                  <c:v>4.5693374130459372E-9</c:v>
                </c:pt>
                <c:pt idx="841">
                  <c:v>4.5777706166591199E-9</c:v>
                </c:pt>
                <c:pt idx="842">
                  <c:v>4.5862109461258292E-9</c:v>
                </c:pt>
                <c:pt idx="843">
                  <c:v>4.5946584014460642E-9</c:v>
                </c:pt>
                <c:pt idx="844">
                  <c:v>4.6031129826198289E-9</c:v>
                </c:pt>
                <c:pt idx="845">
                  <c:v>4.6115746896471186E-9</c:v>
                </c:pt>
                <c:pt idx="846">
                  <c:v>4.6200435225279372E-9</c:v>
                </c:pt>
                <c:pt idx="847">
                  <c:v>4.6285194812622807E-9</c:v>
                </c:pt>
                <c:pt idx="848">
                  <c:v>4.6370025658501524E-9</c:v>
                </c:pt>
                <c:pt idx="849">
                  <c:v>4.6454927762915514E-9</c:v>
                </c:pt>
                <c:pt idx="850">
                  <c:v>4.653990112586477E-9</c:v>
                </c:pt>
                <c:pt idx="851">
                  <c:v>4.6624945747349299E-9</c:v>
                </c:pt>
                <c:pt idx="852">
                  <c:v>4.6710061627369101E-9</c:v>
                </c:pt>
                <c:pt idx="853">
                  <c:v>4.6795248765924169E-9</c:v>
                </c:pt>
                <c:pt idx="854">
                  <c:v>4.6880507163014501E-9</c:v>
                </c:pt>
                <c:pt idx="855">
                  <c:v>4.6965836818640116E-9</c:v>
                </c:pt>
                <c:pt idx="856">
                  <c:v>4.7051237732800995E-9</c:v>
                </c:pt>
                <c:pt idx="857">
                  <c:v>4.713670990549714E-9</c:v>
                </c:pt>
                <c:pt idx="858">
                  <c:v>4.7222253336728559E-9</c:v>
                </c:pt>
                <c:pt idx="859">
                  <c:v>4.730786802649525E-9</c:v>
                </c:pt>
                <c:pt idx="860">
                  <c:v>4.7393553974797215E-9</c:v>
                </c:pt>
                <c:pt idx="861">
                  <c:v>4.7479311181634438E-9</c:v>
                </c:pt>
                <c:pt idx="862">
                  <c:v>4.7565139647006958E-9</c:v>
                </c:pt>
                <c:pt idx="863">
                  <c:v>4.7651039370914727E-9</c:v>
                </c:pt>
                <c:pt idx="864">
                  <c:v>4.7737010353357761E-9</c:v>
                </c:pt>
                <c:pt idx="865">
                  <c:v>4.7823052594336077E-9</c:v>
                </c:pt>
                <c:pt idx="866">
                  <c:v>4.7909166093849658E-9</c:v>
                </c:pt>
                <c:pt idx="867">
                  <c:v>4.7995350851898529E-9</c:v>
                </c:pt>
                <c:pt idx="868">
                  <c:v>4.8081606868482641E-9</c:v>
                </c:pt>
                <c:pt idx="869">
                  <c:v>4.8167934143602042E-9</c:v>
                </c:pt>
                <c:pt idx="870">
                  <c:v>4.8254332677256709E-9</c:v>
                </c:pt>
                <c:pt idx="871">
                  <c:v>4.8340802469446649E-9</c:v>
                </c:pt>
                <c:pt idx="872">
                  <c:v>4.8427343520171854E-9</c:v>
                </c:pt>
                <c:pt idx="873">
                  <c:v>4.8513955829432333E-9</c:v>
                </c:pt>
                <c:pt idx="874">
                  <c:v>4.8600639397228077E-9</c:v>
                </c:pt>
                <c:pt idx="875">
                  <c:v>4.8687394223559102E-9</c:v>
                </c:pt>
                <c:pt idx="876">
                  <c:v>4.8774220308425385E-9</c:v>
                </c:pt>
                <c:pt idx="877">
                  <c:v>4.8861117651826949E-9</c:v>
                </c:pt>
                <c:pt idx="878">
                  <c:v>4.8948086253763779E-9</c:v>
                </c:pt>
                <c:pt idx="879">
                  <c:v>4.9035126114235882E-9</c:v>
                </c:pt>
                <c:pt idx="880">
                  <c:v>4.912223723324325E-9</c:v>
                </c:pt>
                <c:pt idx="881">
                  <c:v>4.9209419610785891E-9</c:v>
                </c:pt>
                <c:pt idx="882">
                  <c:v>4.9296673246863815E-9</c:v>
                </c:pt>
                <c:pt idx="883">
                  <c:v>4.9383998141476978E-9</c:v>
                </c:pt>
                <c:pt idx="884">
                  <c:v>4.947139429462544E-9</c:v>
                </c:pt>
                <c:pt idx="885">
                  <c:v>4.9558861706309167E-9</c:v>
                </c:pt>
                <c:pt idx="886">
                  <c:v>4.964640037652816E-9</c:v>
                </c:pt>
                <c:pt idx="887">
                  <c:v>4.9734010305282426E-9</c:v>
                </c:pt>
                <c:pt idx="888">
                  <c:v>4.9821691492571956E-9</c:v>
                </c:pt>
                <c:pt idx="889">
                  <c:v>4.9909443938396761E-9</c:v>
                </c:pt>
                <c:pt idx="890">
                  <c:v>4.9997267642756847E-9</c:v>
                </c:pt>
                <c:pt idx="891">
                  <c:v>5.008516260565219E-9</c:v>
                </c:pt>
                <c:pt idx="892">
                  <c:v>5.0173128827082807E-9</c:v>
                </c:pt>
                <c:pt idx="893">
                  <c:v>5.0261166307048696E-9</c:v>
                </c:pt>
                <c:pt idx="894">
                  <c:v>5.0349275045549852E-9</c:v>
                </c:pt>
                <c:pt idx="895">
                  <c:v>5.043745504258628E-9</c:v>
                </c:pt>
                <c:pt idx="896">
                  <c:v>5.0525706298157982E-9</c:v>
                </c:pt>
                <c:pt idx="897">
                  <c:v>5.0614028812264949E-9</c:v>
                </c:pt>
                <c:pt idx="898">
                  <c:v>5.0702422584907182E-9</c:v>
                </c:pt>
                <c:pt idx="899">
                  <c:v>5.0790887616084704E-9</c:v>
                </c:pt>
                <c:pt idx="900">
                  <c:v>5.0879423905797475E-9</c:v>
                </c:pt>
                <c:pt idx="901">
                  <c:v>5.0968031454045536E-9</c:v>
                </c:pt>
                <c:pt idx="902">
                  <c:v>5.1056710260828854E-9</c:v>
                </c:pt>
                <c:pt idx="903">
                  <c:v>5.1145460326147446E-9</c:v>
                </c:pt>
                <c:pt idx="904">
                  <c:v>5.1234281650001311E-9</c:v>
                </c:pt>
                <c:pt idx="905">
                  <c:v>5.1323174232390441E-9</c:v>
                </c:pt>
                <c:pt idx="906">
                  <c:v>5.1412138073314844E-9</c:v>
                </c:pt>
                <c:pt idx="907">
                  <c:v>5.1501173172774521E-9</c:v>
                </c:pt>
                <c:pt idx="908">
                  <c:v>5.1590279530769463E-9</c:v>
                </c:pt>
                <c:pt idx="909">
                  <c:v>5.1679457147299687E-9</c:v>
                </c:pt>
                <c:pt idx="910">
                  <c:v>5.1768706022365168E-9</c:v>
                </c:pt>
                <c:pt idx="911">
                  <c:v>5.1858026155965922E-9</c:v>
                </c:pt>
                <c:pt idx="912">
                  <c:v>5.1947417548101958E-9</c:v>
                </c:pt>
                <c:pt idx="913">
                  <c:v>5.2036880198773251E-9</c:v>
                </c:pt>
                <c:pt idx="914">
                  <c:v>5.2126414107979817E-9</c:v>
                </c:pt>
                <c:pt idx="915">
                  <c:v>5.2216019275721649E-9</c:v>
                </c:pt>
                <c:pt idx="916">
                  <c:v>5.230569570199877E-9</c:v>
                </c:pt>
                <c:pt idx="917">
                  <c:v>5.2395443386811132E-9</c:v>
                </c:pt>
                <c:pt idx="918">
                  <c:v>5.2485262330158792E-9</c:v>
                </c:pt>
                <c:pt idx="919">
                  <c:v>5.2575152532041718E-9</c:v>
                </c:pt>
                <c:pt idx="920">
                  <c:v>5.26651139924599E-9</c:v>
                </c:pt>
                <c:pt idx="921">
                  <c:v>5.2755146711413372E-9</c:v>
                </c:pt>
                <c:pt idx="922">
                  <c:v>5.2845250688902093E-9</c:v>
                </c:pt>
                <c:pt idx="923">
                  <c:v>5.2935425924926088E-9</c:v>
                </c:pt>
                <c:pt idx="924">
                  <c:v>5.302567241948538E-9</c:v>
                </c:pt>
                <c:pt idx="925">
                  <c:v>5.3115990172579905E-9</c:v>
                </c:pt>
                <c:pt idx="926">
                  <c:v>5.3206379184209728E-9</c:v>
                </c:pt>
                <c:pt idx="927">
                  <c:v>5.3296839454374816E-9</c:v>
                </c:pt>
                <c:pt idx="928">
                  <c:v>5.3387370983075169E-9</c:v>
                </c:pt>
                <c:pt idx="929">
                  <c:v>5.3477973770310788E-9</c:v>
                </c:pt>
                <c:pt idx="930">
                  <c:v>5.3568647816081696E-9</c:v>
                </c:pt>
                <c:pt idx="931">
                  <c:v>5.3659393120387862E-9</c:v>
                </c:pt>
                <c:pt idx="932">
                  <c:v>5.3750209683229284E-9</c:v>
                </c:pt>
                <c:pt idx="933">
                  <c:v>5.3841097504605997E-9</c:v>
                </c:pt>
                <c:pt idx="934">
                  <c:v>5.3932056584517974E-9</c:v>
                </c:pt>
                <c:pt idx="935">
                  <c:v>5.4023086922965217E-9</c:v>
                </c:pt>
                <c:pt idx="936">
                  <c:v>5.411418851994775E-9</c:v>
                </c:pt>
                <c:pt idx="937">
                  <c:v>5.4205361375465531E-9</c:v>
                </c:pt>
                <c:pt idx="938">
                  <c:v>5.4296605489518586E-9</c:v>
                </c:pt>
                <c:pt idx="939">
                  <c:v>5.4387920862106922E-9</c:v>
                </c:pt>
                <c:pt idx="940">
                  <c:v>5.4479307493230516E-9</c:v>
                </c:pt>
                <c:pt idx="941">
                  <c:v>5.4570765382889391E-9</c:v>
                </c:pt>
                <c:pt idx="942">
                  <c:v>5.4662294531083531E-9</c:v>
                </c:pt>
                <c:pt idx="943">
                  <c:v>5.4753894937812937E-9</c:v>
                </c:pt>
                <c:pt idx="944">
                  <c:v>5.4845566603077632E-9</c:v>
                </c:pt>
                <c:pt idx="945">
                  <c:v>5.4937309526877585E-9</c:v>
                </c:pt>
                <c:pt idx="946">
                  <c:v>5.5029123709212811E-9</c:v>
                </c:pt>
                <c:pt idx="947">
                  <c:v>5.5121009150083302E-9</c:v>
                </c:pt>
                <c:pt idx="948">
                  <c:v>5.521296584948905E-9</c:v>
                </c:pt>
                <c:pt idx="949">
                  <c:v>5.5304993807430088E-9</c:v>
                </c:pt>
                <c:pt idx="950">
                  <c:v>5.5397093023906408E-9</c:v>
                </c:pt>
                <c:pt idx="951">
                  <c:v>5.5489263498917984E-9</c:v>
                </c:pt>
                <c:pt idx="952">
                  <c:v>5.5581505232464818E-9</c:v>
                </c:pt>
                <c:pt idx="953">
                  <c:v>5.5673818224546941E-9</c:v>
                </c:pt>
                <c:pt idx="954">
                  <c:v>5.576620247516433E-9</c:v>
                </c:pt>
                <c:pt idx="955">
                  <c:v>5.5858657984316992E-9</c:v>
                </c:pt>
                <c:pt idx="956">
                  <c:v>5.595118475200492E-9</c:v>
                </c:pt>
                <c:pt idx="957">
                  <c:v>5.6043782778228112E-9</c:v>
                </c:pt>
                <c:pt idx="958">
                  <c:v>5.6136452062986578E-9</c:v>
                </c:pt>
                <c:pt idx="959">
                  <c:v>5.6229192606280318E-9</c:v>
                </c:pt>
                <c:pt idx="960">
                  <c:v>5.6322004408109339E-9</c:v>
                </c:pt>
                <c:pt idx="961">
                  <c:v>5.6414887468473609E-9</c:v>
                </c:pt>
                <c:pt idx="962">
                  <c:v>5.6507841787373169E-9</c:v>
                </c:pt>
                <c:pt idx="963">
                  <c:v>5.6600867364807985E-9</c:v>
                </c:pt>
                <c:pt idx="964">
                  <c:v>5.6693964200778084E-9</c:v>
                </c:pt>
                <c:pt idx="965">
                  <c:v>5.6787132295283439E-9</c:v>
                </c:pt>
                <c:pt idx="966">
                  <c:v>5.6880371648324076E-9</c:v>
                </c:pt>
                <c:pt idx="967">
                  <c:v>5.6973682259899979E-9</c:v>
                </c:pt>
                <c:pt idx="968">
                  <c:v>5.7067064130011155E-9</c:v>
                </c:pt>
                <c:pt idx="969">
                  <c:v>5.7160517258657595E-9</c:v>
                </c:pt>
                <c:pt idx="970">
                  <c:v>5.725404164583931E-9</c:v>
                </c:pt>
                <c:pt idx="971">
                  <c:v>5.7347637291556298E-9</c:v>
                </c:pt>
                <c:pt idx="972">
                  <c:v>5.7441304195808559E-9</c:v>
                </c:pt>
                <c:pt idx="973">
                  <c:v>5.7535042358596077E-9</c:v>
                </c:pt>
                <c:pt idx="974">
                  <c:v>5.7628851779918877E-9</c:v>
                </c:pt>
                <c:pt idx="975">
                  <c:v>5.7722732459776942E-9</c:v>
                </c:pt>
                <c:pt idx="976">
                  <c:v>5.7816684398170281E-9</c:v>
                </c:pt>
                <c:pt idx="977">
                  <c:v>5.7910707595098893E-9</c:v>
                </c:pt>
                <c:pt idx="978">
                  <c:v>5.800480205056277E-9</c:v>
                </c:pt>
                <c:pt idx="979">
                  <c:v>5.8098967764561913E-9</c:v>
                </c:pt>
                <c:pt idx="980">
                  <c:v>5.8193204737096337E-9</c:v>
                </c:pt>
                <c:pt idx="981">
                  <c:v>5.8287512968166034E-9</c:v>
                </c:pt>
                <c:pt idx="982">
                  <c:v>5.8381892457770989E-9</c:v>
                </c:pt>
                <c:pt idx="983">
                  <c:v>5.8476343205911217E-9</c:v>
                </c:pt>
                <c:pt idx="984">
                  <c:v>5.8570865212586735E-9</c:v>
                </c:pt>
                <c:pt idx="985">
                  <c:v>5.8665458477797493E-9</c:v>
                </c:pt>
                <c:pt idx="986">
                  <c:v>5.8760123001543541E-9</c:v>
                </c:pt>
                <c:pt idx="987">
                  <c:v>5.8854858783824847E-9</c:v>
                </c:pt>
                <c:pt idx="988">
                  <c:v>5.8949665824641434E-9</c:v>
                </c:pt>
                <c:pt idx="989">
                  <c:v>5.9044544123993286E-9</c:v>
                </c:pt>
                <c:pt idx="990">
                  <c:v>5.9139493681880411E-9</c:v>
                </c:pt>
                <c:pt idx="991">
                  <c:v>5.9234514498302819E-9</c:v>
                </c:pt>
                <c:pt idx="992">
                  <c:v>5.9329606573260483E-9</c:v>
                </c:pt>
                <c:pt idx="993">
                  <c:v>5.9424769906753412E-9</c:v>
                </c:pt>
                <c:pt idx="994">
                  <c:v>5.9520004498781615E-9</c:v>
                </c:pt>
                <c:pt idx="995">
                  <c:v>5.9615310349345092E-9</c:v>
                </c:pt>
                <c:pt idx="996">
                  <c:v>5.971068745844385E-9</c:v>
                </c:pt>
                <c:pt idx="997">
                  <c:v>5.9806135826077856E-9</c:v>
                </c:pt>
                <c:pt idx="998">
                  <c:v>5.9901655452247153E-9</c:v>
                </c:pt>
                <c:pt idx="999">
                  <c:v>5.9997246336951707E-9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47-4005-BE14-01D1346D6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7024"/>
        <c:axId val="1379648976"/>
      </c:scatterChart>
      <c:valAx>
        <c:axId val="15916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79648976"/>
        <c:crosses val="autoZero"/>
        <c:crossBetween val="midCat"/>
      </c:valAx>
      <c:valAx>
        <c:axId val="137964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916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193322</xdr:colOff>
      <xdr:row>22</xdr:row>
      <xdr:rowOff>290689</xdr:rowOff>
    </xdr:from>
    <xdr:to>
      <xdr:col>13</xdr:col>
      <xdr:colOff>624417</xdr:colOff>
      <xdr:row>45</xdr:row>
      <xdr:rowOff>95250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1D0F91AF-A570-45E5-81AB-D9DC2D5CA5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985</xdr:row>
      <xdr:rowOff>175260</xdr:rowOff>
    </xdr:from>
    <xdr:to>
      <xdr:col>12</xdr:col>
      <xdr:colOff>278130</xdr:colOff>
      <xdr:row>997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450F509-2578-43A7-8943-1115E7266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506730</xdr:colOff>
      <xdr:row>2</xdr:row>
      <xdr:rowOff>99060</xdr:rowOff>
    </xdr:from>
    <xdr:to>
      <xdr:col>18</xdr:col>
      <xdr:colOff>384810</xdr:colOff>
      <xdr:row>14</xdr:row>
      <xdr:rowOff>99060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F85D081-79EF-4111-BF82-B9B23A46D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56DB94A2-03D7-5ABB-B93E-03CE5E1AB7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F6CB3-C996-B24D-ACCF-72F0D15EFDC8}">
  <sheetPr codeName="Sheet1"/>
  <dimension ref="B2:N124"/>
  <sheetViews>
    <sheetView topLeftCell="B3" zoomScale="90" zoomScaleNormal="90" workbookViewId="0">
      <selection activeCell="G11" sqref="G11:H12"/>
    </sheetView>
  </sheetViews>
  <sheetFormatPr defaultColWidth="16.75" defaultRowHeight="24" customHeight="1"/>
  <cols>
    <col min="1" max="16384" width="16.75" style="2"/>
  </cols>
  <sheetData>
    <row r="2" spans="2:14" ht="24" customHeight="1">
      <c r="B2" s="2" t="s">
        <v>29</v>
      </c>
    </row>
    <row r="4" spans="2:14" ht="24" customHeight="1">
      <c r="B4" s="2" t="s">
        <v>13</v>
      </c>
      <c r="F4" s="2" t="s">
        <v>22</v>
      </c>
      <c r="N4" s="2" t="s">
        <v>38</v>
      </c>
    </row>
    <row r="5" spans="2:14" ht="24" customHeight="1">
      <c r="B5" s="2" t="s">
        <v>11</v>
      </c>
      <c r="C5" s="2">
        <f>PI()</f>
        <v>3.1415926535897931</v>
      </c>
      <c r="G5" s="2" t="s">
        <v>4</v>
      </c>
      <c r="H5" s="2" t="s">
        <v>5</v>
      </c>
    </row>
    <row r="6" spans="2:14" ht="24" customHeight="1">
      <c r="F6" s="2" t="s">
        <v>6</v>
      </c>
      <c r="G6" s="3">
        <v>58.69</v>
      </c>
      <c r="H6" s="3">
        <v>47.87</v>
      </c>
      <c r="K6" s="2" t="s">
        <v>23</v>
      </c>
      <c r="L6" s="4">
        <f>C5*C9*POWER(C12*C17/C10,2)</f>
        <v>6986016.9647273459</v>
      </c>
      <c r="N6" s="2" t="s">
        <v>32</v>
      </c>
    </row>
    <row r="7" spans="2:14" ht="24" customHeight="1">
      <c r="F7" s="2" t="s">
        <v>7</v>
      </c>
      <c r="G7" s="3">
        <v>8.9079999999999995</v>
      </c>
      <c r="H7" s="3">
        <v>4.5060000000000002</v>
      </c>
      <c r="K7" s="2" t="s">
        <v>12</v>
      </c>
      <c r="L7" s="4">
        <f>4*C5*C17</f>
        <v>2.3750440461138837E-3</v>
      </c>
      <c r="N7" s="2" t="s">
        <v>33</v>
      </c>
    </row>
    <row r="8" spans="2:14" ht="24" customHeight="1">
      <c r="B8" s="2" t="s">
        <v>14</v>
      </c>
      <c r="F8" s="2" t="s">
        <v>8</v>
      </c>
      <c r="G8" s="3">
        <v>76</v>
      </c>
      <c r="H8" s="3">
        <v>44</v>
      </c>
      <c r="K8" s="2" t="s">
        <v>26</v>
      </c>
      <c r="L8" s="4">
        <f>G14*C18+H14*(1-C18)</f>
        <v>39051378410718.836</v>
      </c>
      <c r="N8" s="2" t="s">
        <v>34</v>
      </c>
    </row>
    <row r="9" spans="2:14" ht="24" customHeight="1">
      <c r="B9" s="2" t="s">
        <v>1</v>
      </c>
      <c r="C9" s="2">
        <v>9.8000000000000007</v>
      </c>
      <c r="D9" s="2" t="s">
        <v>15</v>
      </c>
      <c r="F9" s="2" t="s">
        <v>9</v>
      </c>
      <c r="G9" s="3">
        <v>180</v>
      </c>
      <c r="H9" s="3">
        <v>110</v>
      </c>
      <c r="N9" s="2" t="s">
        <v>35</v>
      </c>
    </row>
    <row r="10" spans="2:14" ht="24" customHeight="1">
      <c r="B10" s="2" t="s">
        <v>2</v>
      </c>
      <c r="C10" s="4">
        <v>6.6259999999999998E-34</v>
      </c>
      <c r="D10" s="2" t="s">
        <v>16</v>
      </c>
    </row>
    <row r="11" spans="2:14" ht="24" customHeight="1">
      <c r="B11" s="2" t="s">
        <v>10</v>
      </c>
      <c r="C11" s="4">
        <v>6.02E+23</v>
      </c>
      <c r="D11" s="2" t="s">
        <v>17</v>
      </c>
      <c r="F11" s="2" t="s">
        <v>27</v>
      </c>
      <c r="G11" s="4">
        <f>$C$13*POWER(G6,1/3)</f>
        <v>3.4003954223998741E-15</v>
      </c>
      <c r="H11" s="4">
        <f>$C$13*POWER(H6,1/3)</f>
        <v>3.1770876436980546E-15</v>
      </c>
      <c r="I11" s="4"/>
    </row>
    <row r="12" spans="2:14" ht="24" customHeight="1">
      <c r="B12" s="2" t="s">
        <v>3</v>
      </c>
      <c r="C12" s="4">
        <v>1.6700000000000002E-27</v>
      </c>
      <c r="D12" s="2" t="s">
        <v>18</v>
      </c>
      <c r="F12" s="2" t="s">
        <v>28</v>
      </c>
      <c r="G12" s="4">
        <f>G7/G6*$C$11*1000000</f>
        <v>9.1371886181632288E+28</v>
      </c>
      <c r="H12" s="4">
        <f>H7/H6*$C$11*1000000</f>
        <v>5.6666221015249633E+28</v>
      </c>
      <c r="I12" s="4"/>
    </row>
    <row r="13" spans="2:14" ht="24" customHeight="1">
      <c r="B13" s="2" t="s">
        <v>19</v>
      </c>
      <c r="C13" s="4">
        <v>8.7500000000000002E-16</v>
      </c>
      <c r="D13" s="2" t="s">
        <v>20</v>
      </c>
    </row>
    <row r="14" spans="2:14" ht="24" customHeight="1">
      <c r="B14" s="2" t="s">
        <v>30</v>
      </c>
      <c r="C14" s="4">
        <v>1.602E-19</v>
      </c>
      <c r="D14" s="2" t="s">
        <v>31</v>
      </c>
      <c r="F14" s="2" t="s">
        <v>24</v>
      </c>
      <c r="G14" s="4">
        <f>G12*G11/2/$C5</f>
        <v>49449527320647</v>
      </c>
      <c r="H14" s="4">
        <f>H12*H11/2/$C5</f>
        <v>28653229500790.676</v>
      </c>
      <c r="I14" s="4"/>
    </row>
    <row r="16" spans="2:14" ht="24" customHeight="1">
      <c r="B16" s="2" t="s">
        <v>62</v>
      </c>
      <c r="F16" s="2" t="s">
        <v>37</v>
      </c>
      <c r="K16" s="2" t="s">
        <v>39</v>
      </c>
    </row>
    <row r="17" spans="2:11" ht="24" customHeight="1">
      <c r="B17" s="2" t="s">
        <v>0</v>
      </c>
      <c r="C17" s="4">
        <v>1.8900000000000001E-4</v>
      </c>
      <c r="D17" s="2" t="s">
        <v>21</v>
      </c>
      <c r="F17" s="2" t="s">
        <v>60</v>
      </c>
      <c r="K17" s="2" t="s">
        <v>61</v>
      </c>
    </row>
    <row r="18" spans="2:11" ht="24" customHeight="1">
      <c r="B18" s="2" t="s">
        <v>25</v>
      </c>
      <c r="C18" s="2">
        <v>0.5</v>
      </c>
    </row>
    <row r="19" spans="2:11" ht="24" customHeight="1">
      <c r="B19" s="2" t="s">
        <v>36</v>
      </c>
      <c r="C19" s="4">
        <v>0.15</v>
      </c>
    </row>
    <row r="20" spans="2:11" ht="24" customHeight="1">
      <c r="B20" s="2" t="s">
        <v>63</v>
      </c>
      <c r="C20" s="4">
        <v>1.7999999999999999E-2</v>
      </c>
    </row>
    <row r="21" spans="2:11" ht="24" customHeight="1">
      <c r="B21" s="2" t="s">
        <v>61</v>
      </c>
      <c r="C21" s="4">
        <v>3E-10</v>
      </c>
    </row>
    <row r="22" spans="2:11" ht="24" customHeight="1">
      <c r="C22" s="4"/>
    </row>
    <row r="23" spans="2:11" ht="24" customHeight="1">
      <c r="C23" s="4"/>
    </row>
    <row r="24" spans="2:11" ht="24" customHeight="1">
      <c r="B24" s="2" t="s">
        <v>64</v>
      </c>
      <c r="C24" s="2" t="s">
        <v>65</v>
      </c>
      <c r="D24" s="5" t="s">
        <v>67</v>
      </c>
      <c r="E24" s="2" t="s">
        <v>66</v>
      </c>
      <c r="F24" s="2" t="s">
        <v>60</v>
      </c>
    </row>
    <row r="25" spans="2:11" ht="24" customHeight="1">
      <c r="B25" s="2">
        <v>14.250264276683302</v>
      </c>
      <c r="C25" s="2">
        <v>-184.73541652419865</v>
      </c>
      <c r="D25" s="2">
        <v>1.1642290849364375E-5</v>
      </c>
      <c r="E25" s="2">
        <v>8.1698771498671999E-7</v>
      </c>
      <c r="F25" s="2">
        <v>1.7999999999999999E-6</v>
      </c>
    </row>
    <row r="26" spans="2:11" ht="24" customHeight="1">
      <c r="B26" s="2">
        <v>28.500528553366603</v>
      </c>
      <c r="C26" s="2">
        <v>-184.73541652419865</v>
      </c>
      <c r="D26" s="2">
        <v>2.3279926449233714E-5</v>
      </c>
      <c r="E26" s="2">
        <v>8.1682437592841732E-7</v>
      </c>
      <c r="F26" s="2">
        <v>3.5999999999999998E-6</v>
      </c>
    </row>
    <row r="27" spans="2:11" ht="24" customHeight="1">
      <c r="B27" s="2">
        <v>42.75079283004991</v>
      </c>
      <c r="C27" s="2">
        <v>-184.73541652419865</v>
      </c>
      <c r="D27" s="2">
        <v>3.491290889369969E-5</v>
      </c>
      <c r="E27" s="2">
        <v>8.1666108585380659E-7</v>
      </c>
      <c r="F27" s="2">
        <v>5.4E-6</v>
      </c>
    </row>
    <row r="28" spans="2:11" ht="24" customHeight="1">
      <c r="B28" s="2">
        <v>57.001057106733207</v>
      </c>
      <c r="C28" s="2">
        <v>-184.73541652419865</v>
      </c>
      <c r="D28" s="2">
        <v>4.6541240275737566E-5</v>
      </c>
      <c r="E28" s="2">
        <v>8.1649784474330249E-7</v>
      </c>
      <c r="F28" s="2">
        <v>7.1999999999999997E-6</v>
      </c>
    </row>
    <row r="29" spans="2:11" ht="24" customHeight="1">
      <c r="B29" s="2">
        <v>71.25132138341651</v>
      </c>
      <c r="C29" s="2">
        <v>-184.73541652419865</v>
      </c>
      <c r="D29" s="2">
        <v>5.8164922687207028E-5</v>
      </c>
      <c r="E29" s="2">
        <v>8.163346525773304E-7</v>
      </c>
      <c r="F29" s="2">
        <v>9.0000000000000002E-6</v>
      </c>
    </row>
    <row r="30" spans="2:11" ht="24" customHeight="1">
      <c r="B30" s="2">
        <v>85.501585660099821</v>
      </c>
      <c r="C30" s="2">
        <v>-184.73541652419865</v>
      </c>
      <c r="D30" s="2">
        <v>6.9783958218852808E-5</v>
      </c>
      <c r="E30" s="2">
        <v>8.1617150933632566E-7</v>
      </c>
      <c r="F30" s="2">
        <v>1.08E-5</v>
      </c>
    </row>
    <row r="31" spans="2:11" ht="24" customHeight="1">
      <c r="B31" s="2">
        <v>99.751849936783117</v>
      </c>
      <c r="C31" s="2">
        <v>-184.73541652419865</v>
      </c>
      <c r="D31" s="2">
        <v>8.139834896030535E-5</v>
      </c>
      <c r="E31" s="2">
        <v>8.1600841500073293E-7</v>
      </c>
      <c r="F31" s="2">
        <v>1.26E-5</v>
      </c>
    </row>
    <row r="32" spans="2:11" ht="24" customHeight="1">
      <c r="B32" s="2">
        <v>114.00211421346641</v>
      </c>
      <c r="C32" s="2">
        <v>-184.73541652419865</v>
      </c>
      <c r="D32" s="2">
        <v>9.3008097000081566E-5</v>
      </c>
      <c r="E32" s="2">
        <v>8.158453695510066E-7</v>
      </c>
      <c r="F32" s="2">
        <v>1.4399999999999999E-5</v>
      </c>
    </row>
    <row r="33" spans="2:6" ht="24" customHeight="1">
      <c r="B33" s="2">
        <v>128.25237849014974</v>
      </c>
      <c r="C33" s="2">
        <v>-184.73541652419865</v>
      </c>
      <c r="D33" s="2">
        <v>1.0461320442558563E-4</v>
      </c>
      <c r="E33" s="2">
        <v>8.1568237296761178E-7</v>
      </c>
      <c r="F33" s="2">
        <v>1.6200000000000001E-5</v>
      </c>
    </row>
    <row r="34" spans="2:6" ht="24" customHeight="1">
      <c r="B34" s="2">
        <v>142.50264276683302</v>
      </c>
      <c r="C34" s="2">
        <v>-184.73541652419865</v>
      </c>
      <c r="D34" s="2">
        <v>1.1621367332310932E-4</v>
      </c>
      <c r="E34" s="2">
        <v>8.1551942523102201E-7</v>
      </c>
      <c r="F34" s="2">
        <v>1.8E-5</v>
      </c>
    </row>
    <row r="35" spans="2:6" ht="24" customHeight="1">
      <c r="B35" s="2">
        <v>156.75290704351633</v>
      </c>
      <c r="C35" s="2">
        <v>-184.73541652419865</v>
      </c>
      <c r="D35" s="2">
        <v>1.2780950577783321E-4</v>
      </c>
      <c r="E35" s="2">
        <v>8.1535652632172166E-7</v>
      </c>
      <c r="F35" s="2">
        <v>1.98E-5</v>
      </c>
    </row>
    <row r="36" spans="2:6" ht="24" customHeight="1">
      <c r="B36" s="2">
        <v>171.00317132019964</v>
      </c>
      <c r="C36" s="2">
        <v>-184.73541652419865</v>
      </c>
      <c r="D36" s="2">
        <v>1.3940070387382685E-4</v>
      </c>
      <c r="E36" s="2">
        <v>8.1519367622020366E-7</v>
      </c>
      <c r="F36" s="2">
        <v>2.16E-5</v>
      </c>
    </row>
    <row r="37" spans="2:6" ht="24" customHeight="1">
      <c r="B37" s="2">
        <v>185.25343559688292</v>
      </c>
      <c r="C37" s="2">
        <v>-184.73541652419865</v>
      </c>
      <c r="D37" s="2">
        <v>1.5098726969404994E-4</v>
      </c>
      <c r="E37" s="2">
        <v>8.1503087490697229E-7</v>
      </c>
      <c r="F37" s="2">
        <v>2.34E-5</v>
      </c>
    </row>
    <row r="38" spans="2:6" ht="24" customHeight="1">
      <c r="B38" s="2">
        <v>199.50369987356623</v>
      </c>
      <c r="C38" s="2">
        <v>-184.73541652419865</v>
      </c>
      <c r="D38" s="2">
        <v>1.6256920532035262E-4</v>
      </c>
      <c r="E38" s="2">
        <v>8.1486812236253996E-7</v>
      </c>
      <c r="F38" s="2">
        <v>2.5199999999999999E-5</v>
      </c>
    </row>
    <row r="39" spans="2:6" ht="24" customHeight="1">
      <c r="B39" s="2">
        <v>213.75396415024954</v>
      </c>
      <c r="C39" s="2">
        <v>-184.73541652419865</v>
      </c>
      <c r="D39" s="2">
        <v>1.7414651283347639E-4</v>
      </c>
      <c r="E39" s="2">
        <v>8.1470541856742956E-7</v>
      </c>
      <c r="F39" s="2">
        <v>2.6999999999999999E-5</v>
      </c>
    </row>
    <row r="40" spans="2:6" ht="24" customHeight="1">
      <c r="B40" s="2">
        <v>228.00422842693283</v>
      </c>
      <c r="C40" s="2">
        <v>-184.73541652419865</v>
      </c>
      <c r="D40" s="2">
        <v>1.8571919431305484E-4</v>
      </c>
      <c r="E40" s="2">
        <v>8.1454276350217418E-7</v>
      </c>
      <c r="F40" s="2">
        <v>2.8799999999999999E-5</v>
      </c>
    </row>
    <row r="41" spans="2:6" ht="24" customHeight="1">
      <c r="B41" s="2">
        <v>242.25449270361614</v>
      </c>
      <c r="C41" s="2">
        <v>-184.73541652419865</v>
      </c>
      <c r="D41" s="2">
        <v>1.9728725183761406E-4</v>
      </c>
      <c r="E41" s="2">
        <v>8.1438015714731534E-7</v>
      </c>
      <c r="F41" s="2">
        <v>3.0599999999999998E-5</v>
      </c>
    </row>
    <row r="42" spans="2:6" ht="24" customHeight="1">
      <c r="B42" s="2">
        <v>256.50475698029948</v>
      </c>
      <c r="C42" s="2">
        <v>-184.73541652419865</v>
      </c>
      <c r="D42" s="2">
        <v>2.0885068748457383E-4</v>
      </c>
      <c r="E42" s="2">
        <v>8.1421759948340591E-7</v>
      </c>
      <c r="F42" s="2">
        <v>3.2400000000000001E-5</v>
      </c>
    </row>
    <row r="43" spans="2:6" ht="24" customHeight="1">
      <c r="B43" s="2">
        <v>270.75502125698279</v>
      </c>
      <c r="C43" s="2">
        <v>-184.73541652419865</v>
      </c>
      <c r="D43" s="2">
        <v>2.2040950333024754E-4</v>
      </c>
      <c r="E43" s="2">
        <v>8.1405509049100658E-7</v>
      </c>
      <c r="F43" s="2">
        <v>3.4200000000000005E-5</v>
      </c>
    </row>
    <row r="44" spans="2:6" ht="24" customHeight="1">
      <c r="B44" s="2">
        <v>285.0052855336661</v>
      </c>
      <c r="C44" s="2">
        <v>-184.73541652419865</v>
      </c>
      <c r="D44" s="2">
        <v>2.3196370144984381E-4</v>
      </c>
      <c r="E44" s="2">
        <v>8.138926301506897E-7</v>
      </c>
      <c r="F44" s="2">
        <v>3.6000000000000008E-5</v>
      </c>
    </row>
    <row r="45" spans="2:6" ht="24" customHeight="1">
      <c r="B45" s="2">
        <v>299.25554981034946</v>
      </c>
      <c r="C45" s="2">
        <v>-184.73541652419865</v>
      </c>
      <c r="D45" s="2">
        <v>2.4351328391746649E-4</v>
      </c>
      <c r="E45" s="2">
        <v>8.13730218443036E-7</v>
      </c>
      <c r="F45" s="2">
        <v>3.7800000000000011E-5</v>
      </c>
    </row>
    <row r="46" spans="2:6" ht="24" customHeight="1">
      <c r="B46" s="2">
        <v>313.50581408703277</v>
      </c>
      <c r="C46" s="2">
        <v>-184.73541652419865</v>
      </c>
      <c r="D46" s="2">
        <v>2.5505825280611552E-4</v>
      </c>
      <c r="E46" s="2">
        <v>8.1356785534863622E-7</v>
      </c>
      <c r="F46" s="2">
        <v>3.9600000000000014E-5</v>
      </c>
    </row>
    <row r="47" spans="2:6" ht="24" customHeight="1">
      <c r="B47" s="2">
        <v>327.75607836371609</v>
      </c>
      <c r="C47" s="2">
        <v>-184.73541652419865</v>
      </c>
      <c r="D47" s="2">
        <v>2.6659861018768781E-4</v>
      </c>
      <c r="E47" s="2">
        <v>8.134055408480911E-7</v>
      </c>
      <c r="F47" s="2">
        <v>4.1400000000000017E-5</v>
      </c>
    </row>
    <row r="48" spans="2:6" ht="24" customHeight="1">
      <c r="B48" s="2">
        <v>342.0063426403994</v>
      </c>
      <c r="C48" s="2">
        <v>-184.73541652419865</v>
      </c>
      <c r="D48" s="2">
        <v>2.7813435813297751E-4</v>
      </c>
      <c r="E48" s="2">
        <v>8.1324327492201015E-7</v>
      </c>
      <c r="F48" s="2">
        <v>4.320000000000002E-5</v>
      </c>
    </row>
    <row r="49" spans="2:6" ht="24" customHeight="1">
      <c r="B49" s="2">
        <v>356.25660691708276</v>
      </c>
      <c r="C49" s="2">
        <v>-184.73541652419865</v>
      </c>
      <c r="D49" s="2">
        <v>2.8966549871167741E-4</v>
      </c>
      <c r="E49" s="2">
        <v>8.1308105755101367E-7</v>
      </c>
      <c r="F49" s="2">
        <v>4.5000000000000023E-5</v>
      </c>
    </row>
    <row r="50" spans="2:6" ht="24" customHeight="1">
      <c r="B50" s="2">
        <v>370.50687119376607</v>
      </c>
      <c r="C50" s="2">
        <v>-184.73541652419865</v>
      </c>
      <c r="D50" s="2">
        <v>3.0119203399237878E-4</v>
      </c>
      <c r="E50" s="2">
        <v>8.1291888871573097E-7</v>
      </c>
      <c r="F50" s="2">
        <v>4.6800000000000026E-5</v>
      </c>
    </row>
    <row r="51" spans="2:6" ht="24" customHeight="1">
      <c r="B51" s="2">
        <v>384.75713547044938</v>
      </c>
      <c r="C51" s="2">
        <v>-184.73541652419865</v>
      </c>
      <c r="D51" s="2">
        <v>3.127139660425727E-4</v>
      </c>
      <c r="E51" s="2">
        <v>8.1275676839680122E-7</v>
      </c>
      <c r="F51" s="2">
        <v>4.8600000000000029E-5</v>
      </c>
    </row>
    <row r="52" spans="2:6" ht="24" customHeight="1">
      <c r="B52" s="2">
        <v>399.00739974713275</v>
      </c>
      <c r="C52" s="2">
        <v>-184.73541652419865</v>
      </c>
      <c r="D52" s="2">
        <v>3.2423129692865052E-4</v>
      </c>
      <c r="E52" s="2">
        <v>8.1259469657487331E-7</v>
      </c>
      <c r="F52" s="2">
        <v>5.0400000000000032E-5</v>
      </c>
    </row>
    <row r="53" spans="2:6" ht="24" customHeight="1">
      <c r="B53" s="2">
        <v>413.25766402381606</v>
      </c>
      <c r="C53" s="2">
        <v>-184.73541652419865</v>
      </c>
      <c r="D53" s="2">
        <v>3.3574402871590445E-4</v>
      </c>
      <c r="E53" s="2">
        <v>8.1243267323060587E-7</v>
      </c>
      <c r="F53" s="2">
        <v>5.2200000000000036E-5</v>
      </c>
    </row>
    <row r="54" spans="2:6" ht="24" customHeight="1">
      <c r="B54" s="2">
        <v>427.50792830049937</v>
      </c>
      <c r="C54" s="2">
        <v>-184.73541652419865</v>
      </c>
      <c r="D54" s="2">
        <v>3.4725216346852814E-4</v>
      </c>
      <c r="E54" s="2">
        <v>8.1227069834466623E-7</v>
      </c>
      <c r="F54" s="2">
        <v>5.4000000000000039E-5</v>
      </c>
    </row>
    <row r="55" spans="2:6" ht="24" customHeight="1">
      <c r="B55" s="2">
        <v>441.75819257718274</v>
      </c>
      <c r="C55" s="2">
        <v>-184.73541652419865</v>
      </c>
      <c r="D55" s="2">
        <v>3.5875570324961776E-4</v>
      </c>
      <c r="E55" s="2">
        <v>8.1210877189773218E-7</v>
      </c>
      <c r="F55" s="2">
        <v>5.5800000000000042E-5</v>
      </c>
    </row>
    <row r="56" spans="2:6" ht="24" customHeight="1">
      <c r="B56" s="2">
        <v>456.00845685386605</v>
      </c>
      <c r="C56" s="2">
        <v>-184.73541652419865</v>
      </c>
      <c r="D56" s="2">
        <v>3.7025465012117281E-4</v>
      </c>
      <c r="E56" s="2">
        <v>8.1194689387049202E-7</v>
      </c>
      <c r="F56" s="2">
        <v>5.7600000000000045E-5</v>
      </c>
    </row>
    <row r="57" spans="2:6" ht="24" customHeight="1">
      <c r="B57" s="2">
        <v>470.25872113054936</v>
      </c>
      <c r="C57" s="2">
        <v>-184.73541652419865</v>
      </c>
      <c r="D57" s="2">
        <v>3.8174900614409589E-4</v>
      </c>
      <c r="E57" s="2">
        <v>8.1178506424364186E-7</v>
      </c>
      <c r="F57" s="2">
        <v>5.9400000000000048E-5</v>
      </c>
    </row>
    <row r="58" spans="2:6" ht="24" customHeight="1">
      <c r="B58" s="2">
        <v>484.50898540723267</v>
      </c>
      <c r="C58" s="2">
        <v>-184.73541652419865</v>
      </c>
      <c r="D58" s="2">
        <v>3.9323877337819435E-4</v>
      </c>
      <c r="E58" s="2">
        <v>8.1162328299788873E-7</v>
      </c>
      <c r="F58" s="2">
        <v>6.1200000000000051E-5</v>
      </c>
    </row>
    <row r="59" spans="2:6" ht="24" customHeight="1">
      <c r="B59" s="2">
        <v>498.75924968391604</v>
      </c>
      <c r="C59" s="2">
        <v>-184.73541652419865</v>
      </c>
      <c r="D59" s="2">
        <v>4.0472395388218045E-4</v>
      </c>
      <c r="E59" s="2">
        <v>8.1146155011394864E-7</v>
      </c>
      <c r="F59" s="2">
        <v>6.3000000000000054E-5</v>
      </c>
    </row>
    <row r="60" spans="2:6" ht="24" customHeight="1">
      <c r="B60" s="2">
        <v>513.00951396059929</v>
      </c>
      <c r="C60" s="2">
        <v>-184.73541652419865</v>
      </c>
      <c r="D60" s="2">
        <v>4.1620454971367209E-4</v>
      </c>
      <c r="E60" s="2">
        <v>8.1129986557254737E-7</v>
      </c>
      <c r="F60" s="2">
        <v>6.4800000000000057E-5</v>
      </c>
    </row>
    <row r="61" spans="2:6" ht="24" customHeight="1">
      <c r="B61" s="2">
        <v>527.25977823728272</v>
      </c>
      <c r="C61" s="2">
        <v>-184.73541652419865</v>
      </c>
      <c r="D61" s="2">
        <v>4.2768056292919365E-4</v>
      </c>
      <c r="E61" s="2">
        <v>8.1113822935442E-7</v>
      </c>
      <c r="F61" s="2">
        <v>6.660000000000006E-5</v>
      </c>
    </row>
    <row r="62" spans="2:6" ht="24" customHeight="1">
      <c r="B62" s="2">
        <v>541.51004251396603</v>
      </c>
      <c r="C62" s="2">
        <v>-184.73541652419865</v>
      </c>
      <c r="D62" s="2">
        <v>4.3915199558417709E-4</v>
      </c>
      <c r="E62" s="2">
        <v>8.1097664144031263E-7</v>
      </c>
      <c r="F62" s="2">
        <v>6.8400000000000063E-5</v>
      </c>
    </row>
    <row r="63" spans="2:6" ht="24" customHeight="1">
      <c r="B63" s="2">
        <v>555.76030679064934</v>
      </c>
      <c r="C63" s="2">
        <v>-184.73541652419865</v>
      </c>
      <c r="D63" s="2">
        <v>4.5061884973296093E-4</v>
      </c>
      <c r="E63" s="2">
        <v>8.1081510181097843E-7</v>
      </c>
      <c r="F63" s="2">
        <v>7.0200000000000066E-5</v>
      </c>
    </row>
    <row r="64" spans="2:6" ht="24" customHeight="1">
      <c r="B64" s="2">
        <v>570.01057106733265</v>
      </c>
      <c r="C64" s="2">
        <v>-184.73541652419865</v>
      </c>
      <c r="D64" s="2">
        <v>4.6208112742879363E-4</v>
      </c>
      <c r="E64" s="2">
        <v>8.1065361044718267E-7</v>
      </c>
      <c r="F64" s="2">
        <v>7.200000000000007E-5</v>
      </c>
    </row>
    <row r="65" spans="2:6" ht="24" customHeight="1">
      <c r="B65" s="2">
        <v>584.26083534401596</v>
      </c>
      <c r="C65" s="2">
        <v>-184.73541652419865</v>
      </c>
      <c r="D65" s="2">
        <v>4.7353883072383149E-4</v>
      </c>
      <c r="E65" s="2">
        <v>8.1049216732969834E-7</v>
      </c>
      <c r="F65" s="2">
        <v>7.3800000000000073E-5</v>
      </c>
    </row>
    <row r="66" spans="2:6" ht="24" customHeight="1">
      <c r="B66" s="2">
        <v>598.51109962069927</v>
      </c>
      <c r="C66" s="2">
        <v>-184.73541652419865</v>
      </c>
      <c r="D66" s="2">
        <v>4.849919616691415E-4</v>
      </c>
      <c r="E66" s="2">
        <v>8.1033077243930911E-7</v>
      </c>
      <c r="F66" s="2">
        <v>7.5600000000000076E-5</v>
      </c>
    </row>
    <row r="67" spans="2:6" ht="24" customHeight="1">
      <c r="B67" s="2">
        <v>612.76136389738269</v>
      </c>
      <c r="C67" s="2">
        <v>-184.73541652419865</v>
      </c>
      <c r="D67" s="2">
        <v>4.964405223147004E-4</v>
      </c>
      <c r="E67" s="2">
        <v>8.1016942575680704E-7</v>
      </c>
      <c r="F67" s="2">
        <v>7.7400000000000079E-5</v>
      </c>
    </row>
    <row r="68" spans="2:6" ht="24" customHeight="1">
      <c r="B68" s="2">
        <v>627.011628174066</v>
      </c>
      <c r="C68" s="2">
        <v>-184.73541652419865</v>
      </c>
      <c r="D68" s="2">
        <v>5.078845147093974E-4</v>
      </c>
      <c r="E68" s="2">
        <v>8.1000812726299634E-7</v>
      </c>
      <c r="F68" s="2">
        <v>7.9200000000000082E-5</v>
      </c>
    </row>
    <row r="69" spans="2:6" ht="24" customHeight="1">
      <c r="B69" s="2">
        <v>641.26189245074931</v>
      </c>
      <c r="C69" s="2">
        <v>-184.73541652419865</v>
      </c>
      <c r="D69" s="2">
        <v>5.1932394090103214E-4</v>
      </c>
      <c r="E69" s="2">
        <v>8.0984687693868801E-7</v>
      </c>
      <c r="F69" s="2">
        <v>8.1000000000000085E-5</v>
      </c>
    </row>
    <row r="70" spans="2:6" ht="24" customHeight="1">
      <c r="B70" s="2">
        <v>655.51215672743263</v>
      </c>
      <c r="C70" s="2">
        <v>-184.73541652419865</v>
      </c>
      <c r="D70" s="2">
        <v>5.3075880293631736E-4</v>
      </c>
      <c r="E70" s="2">
        <v>8.0968567476470354E-7</v>
      </c>
      <c r="F70" s="2">
        <v>8.2800000000000088E-5</v>
      </c>
    </row>
    <row r="71" spans="2:6" ht="24" customHeight="1">
      <c r="B71" s="2">
        <v>669.76242100411594</v>
      </c>
      <c r="C71" s="2">
        <v>-184.73541652419865</v>
      </c>
      <c r="D71" s="2">
        <v>5.4218910286087899E-4</v>
      </c>
      <c r="E71" s="2">
        <v>8.0952452072187403E-7</v>
      </c>
      <c r="F71" s="2">
        <v>8.4600000000000091E-5</v>
      </c>
    </row>
    <row r="72" spans="2:6" ht="24" customHeight="1">
      <c r="B72" s="2">
        <v>684.01268528079925</v>
      </c>
      <c r="C72" s="2">
        <v>-184.73541652419865</v>
      </c>
      <c r="D72" s="2">
        <v>5.5361484271925659E-4</v>
      </c>
      <c r="E72" s="2">
        <v>8.0936341479103993E-7</v>
      </c>
      <c r="F72" s="2">
        <v>8.6400000000000094E-5</v>
      </c>
    </row>
    <row r="73" spans="2:6" ht="24" customHeight="1">
      <c r="B73" s="2">
        <v>698.26294955748256</v>
      </c>
      <c r="C73" s="2">
        <v>-184.73541652419865</v>
      </c>
      <c r="D73" s="2">
        <v>5.6503602455490508E-4</v>
      </c>
      <c r="E73" s="2">
        <v>8.0920235695305224E-7</v>
      </c>
      <c r="F73" s="2">
        <v>8.8200000000000097E-5</v>
      </c>
    </row>
    <row r="74" spans="2:6" ht="24" customHeight="1">
      <c r="B74" s="2">
        <v>712.51321383416598</v>
      </c>
      <c r="C74" s="2">
        <v>-184.73541652419865</v>
      </c>
      <c r="D74" s="2">
        <v>5.7645265041019378E-4</v>
      </c>
      <c r="E74" s="2">
        <v>8.0904134718876993E-7</v>
      </c>
      <c r="F74" s="2">
        <v>9.0000000000000101E-5</v>
      </c>
    </row>
    <row r="75" spans="2:6" ht="24" customHeight="1">
      <c r="B75" s="2">
        <v>726.76347811084929</v>
      </c>
      <c r="C75" s="2">
        <v>-184.73541652419865</v>
      </c>
      <c r="D75" s="2">
        <v>5.8786472232640768E-4</v>
      </c>
      <c r="E75" s="2">
        <v>8.0888038547906214E-7</v>
      </c>
      <c r="F75" s="2">
        <v>9.1800000000000104E-5</v>
      </c>
    </row>
    <row r="76" spans="2:6" ht="24" customHeight="1">
      <c r="B76" s="2">
        <v>741.0137423875326</v>
      </c>
      <c r="C76" s="2">
        <v>-184.73541652419865</v>
      </c>
      <c r="D76" s="2">
        <v>5.9927224234374943E-4</v>
      </c>
      <c r="E76" s="2">
        <v>8.0871947180480803E-7</v>
      </c>
      <c r="F76" s="2">
        <v>9.3600000000000107E-5</v>
      </c>
    </row>
    <row r="77" spans="2:6" ht="24" customHeight="1">
      <c r="B77" s="2">
        <v>755.26400666421591</v>
      </c>
      <c r="C77" s="2">
        <v>-184.73541652419865</v>
      </c>
      <c r="D77" s="2">
        <v>6.1067521250133779E-4</v>
      </c>
      <c r="E77" s="2">
        <v>8.0855860614689516E-7</v>
      </c>
      <c r="F77" s="2">
        <v>9.540000000000011E-5</v>
      </c>
    </row>
    <row r="78" spans="2:6" ht="24" customHeight="1">
      <c r="B78" s="2">
        <v>769.51427094089922</v>
      </c>
      <c r="C78" s="2">
        <v>-184.73541652419865</v>
      </c>
      <c r="D78" s="2">
        <v>6.220736348372108E-4</v>
      </c>
      <c r="E78" s="2">
        <v>8.0839778848622252E-7</v>
      </c>
      <c r="F78" s="2">
        <v>9.7200000000000113E-5</v>
      </c>
    </row>
    <row r="79" spans="2:6" ht="24" customHeight="1">
      <c r="B79" s="2">
        <v>783.76453521758253</v>
      </c>
      <c r="C79" s="2">
        <v>-184.73541652419865</v>
      </c>
      <c r="D79" s="2">
        <v>6.3346751138832348E-4</v>
      </c>
      <c r="E79" s="2">
        <v>8.0823701880369617E-7</v>
      </c>
      <c r="F79" s="2">
        <v>9.9000000000000116E-5</v>
      </c>
    </row>
    <row r="80" spans="2:6" ht="24" customHeight="1">
      <c r="B80" s="2">
        <v>798.01479949426584</v>
      </c>
      <c r="C80" s="2">
        <v>-184.73541652419865</v>
      </c>
      <c r="D80" s="2">
        <v>6.4485684419055109E-4</v>
      </c>
      <c r="E80" s="2">
        <v>8.0807629708023322E-7</v>
      </c>
      <c r="F80" s="2">
        <v>1.0080000000000012E-4</v>
      </c>
    </row>
    <row r="81" spans="2:6" ht="24" customHeight="1">
      <c r="B81" s="2">
        <v>812.26506377094927</v>
      </c>
      <c r="C81" s="2">
        <v>-184.73541652419865</v>
      </c>
      <c r="D81" s="2">
        <v>6.5624163527868904E-4</v>
      </c>
      <c r="E81" s="2">
        <v>8.0791562329676006E-7</v>
      </c>
      <c r="F81" s="2">
        <v>1.0260000000000012E-4</v>
      </c>
    </row>
    <row r="82" spans="2:6" ht="24" customHeight="1">
      <c r="B82" s="2">
        <v>826.51532804763258</v>
      </c>
      <c r="C82" s="2">
        <v>-184.73541652419865</v>
      </c>
      <c r="D82" s="2">
        <v>6.6762188668645264E-4</v>
      </c>
      <c r="E82" s="2">
        <v>8.0775499743421231E-7</v>
      </c>
      <c r="F82" s="2">
        <v>1.0440000000000013E-4</v>
      </c>
    </row>
    <row r="83" spans="2:6" ht="24" customHeight="1">
      <c r="B83" s="2">
        <v>840.76559232431589</v>
      </c>
      <c r="C83" s="2">
        <v>-184.73541652419865</v>
      </c>
      <c r="D83" s="2">
        <v>6.7899760044647886E-4</v>
      </c>
      <c r="E83" s="2">
        <v>8.0759441947353523E-7</v>
      </c>
      <c r="F83" s="2">
        <v>1.0620000000000013E-4</v>
      </c>
    </row>
    <row r="84" spans="2:6" ht="24" customHeight="1">
      <c r="B84" s="2">
        <v>855.0158566009992</v>
      </c>
      <c r="C84" s="2">
        <v>-184.73541652419865</v>
      </c>
      <c r="D84" s="2">
        <v>6.9036877859032634E-4</v>
      </c>
      <c r="E84" s="2">
        <v>8.0743388939568297E-7</v>
      </c>
      <c r="F84" s="2">
        <v>1.0800000000000013E-4</v>
      </c>
    </row>
    <row r="85" spans="2:6" ht="24" customHeight="1">
      <c r="B85" s="2">
        <v>869.26612087768251</v>
      </c>
      <c r="C85" s="2">
        <v>-184.73541652419865</v>
      </c>
      <c r="D85" s="2">
        <v>7.0173542314847718E-4</v>
      </c>
      <c r="E85" s="2">
        <v>8.0727340718162057E-7</v>
      </c>
      <c r="F85" s="2">
        <v>1.0980000000000013E-4</v>
      </c>
    </row>
    <row r="86" spans="2:6" ht="24" customHeight="1">
      <c r="B86" s="2">
        <v>883.51638515436582</v>
      </c>
      <c r="C86" s="2">
        <v>-184.73541652419865</v>
      </c>
      <c r="D86" s="2">
        <v>7.1309753615033582E-4</v>
      </c>
      <c r="E86" s="2">
        <v>8.0711297281232102E-7</v>
      </c>
      <c r="F86" s="2">
        <v>1.1160000000000014E-4</v>
      </c>
    </row>
    <row r="87" spans="2:6" ht="24" customHeight="1">
      <c r="B87" s="2">
        <v>897.76664943104913</v>
      </c>
      <c r="C87" s="2">
        <v>-184.73541652419865</v>
      </c>
      <c r="D87" s="2">
        <v>7.244551196242307E-4</v>
      </c>
      <c r="E87" s="2">
        <v>8.0695258626876717E-7</v>
      </c>
      <c r="F87" s="2">
        <v>1.1340000000000014E-4</v>
      </c>
    </row>
    <row r="88" spans="2:6" ht="24" customHeight="1">
      <c r="B88" s="2">
        <v>912.01691370773256</v>
      </c>
      <c r="C88" s="2">
        <v>-184.73541652419865</v>
      </c>
      <c r="D88" s="2">
        <v>7.3580817559741531E-4</v>
      </c>
      <c r="E88" s="2">
        <v>8.0679224753195139E-7</v>
      </c>
      <c r="F88" s="2">
        <v>1.1520000000000014E-4</v>
      </c>
    </row>
    <row r="89" spans="2:6" ht="24" customHeight="1">
      <c r="B89" s="2">
        <v>926.26717798441587</v>
      </c>
      <c r="C89" s="2">
        <v>-184.73541652419865</v>
      </c>
      <c r="D89" s="2">
        <v>7.4715670609606867E-4</v>
      </c>
      <c r="E89" s="2">
        <v>8.0663195658287632E-7</v>
      </c>
      <c r="F89" s="2">
        <v>1.1700000000000015E-4</v>
      </c>
    </row>
    <row r="90" spans="2:6" ht="24" customHeight="1">
      <c r="B90" s="2">
        <v>940.51744226109918</v>
      </c>
      <c r="C90" s="2">
        <v>-184.73541652419865</v>
      </c>
      <c r="D90" s="2">
        <v>7.5850071314529505E-4</v>
      </c>
      <c r="E90" s="2">
        <v>8.0647171340255263E-7</v>
      </c>
      <c r="F90" s="2">
        <v>1.1880000000000015E-4</v>
      </c>
    </row>
    <row r="91" spans="2:6" ht="24" customHeight="1">
      <c r="B91" s="2">
        <v>954.76770653778249</v>
      </c>
      <c r="C91" s="2">
        <v>-184.73541652419865</v>
      </c>
      <c r="D91" s="2">
        <v>7.6984019876912609E-4</v>
      </c>
      <c r="E91" s="2">
        <v>8.0631151797200172E-7</v>
      </c>
      <c r="F91" s="2">
        <v>1.2060000000000015E-4</v>
      </c>
    </row>
    <row r="92" spans="2:6" ht="24" customHeight="1">
      <c r="B92" s="2">
        <v>969.0179708144658</v>
      </c>
      <c r="C92" s="2">
        <v>-184.73541652419865</v>
      </c>
      <c r="D92" s="2">
        <v>7.8117516499052E-4</v>
      </c>
      <c r="E92" s="2">
        <v>8.0615137027225333E-7</v>
      </c>
      <c r="F92" s="2">
        <v>1.2240000000000016E-4</v>
      </c>
    </row>
    <row r="93" spans="2:6" ht="24" customHeight="1">
      <c r="B93" s="2">
        <v>983.26823509114899</v>
      </c>
      <c r="C93" s="2">
        <v>-184.73541652419865</v>
      </c>
      <c r="D93" s="2">
        <v>7.9250561383136333E-4</v>
      </c>
      <c r="E93" s="2">
        <v>8.0599127028434725E-7</v>
      </c>
      <c r="F93" s="2">
        <v>1.2420000000000015E-4</v>
      </c>
    </row>
    <row r="94" spans="2:6" ht="24" customHeight="1">
      <c r="B94" s="2">
        <v>997.51849936783231</v>
      </c>
      <c r="C94" s="2">
        <v>-184.73541652419865</v>
      </c>
      <c r="D94" s="2">
        <v>8.0383154731247114E-4</v>
      </c>
      <c r="E94" s="2">
        <v>8.0583121798933208E-7</v>
      </c>
      <c r="F94" s="2">
        <v>1.2600000000000014E-4</v>
      </c>
    </row>
    <row r="95" spans="2:6" ht="24" customHeight="1">
      <c r="B95" s="2">
        <v>1011.7687636445155</v>
      </c>
      <c r="C95" s="2">
        <v>-184.73541652419865</v>
      </c>
      <c r="D95" s="2">
        <v>8.1515296745358825E-4</v>
      </c>
      <c r="E95" s="2">
        <v>8.056712133682671E-7</v>
      </c>
      <c r="F95" s="2">
        <v>1.2780000000000012E-4</v>
      </c>
    </row>
    <row r="96" spans="2:6" ht="24" customHeight="1">
      <c r="B96" s="2">
        <v>1026.0190279211986</v>
      </c>
      <c r="C96" s="2">
        <v>-184.73541652419865</v>
      </c>
      <c r="D96" s="2">
        <v>8.2646987627338928E-4</v>
      </c>
      <c r="E96" s="2">
        <v>8.0551125640222018E-7</v>
      </c>
      <c r="F96" s="2">
        <v>1.2960000000000011E-4</v>
      </c>
    </row>
    <row r="97" spans="2:6" ht="24" customHeight="1">
      <c r="B97" s="2">
        <v>1040.2692921978819</v>
      </c>
      <c r="C97" s="2">
        <v>-184.73541652419865</v>
      </c>
      <c r="D97" s="2">
        <v>8.3778227578947808E-4</v>
      </c>
      <c r="E97" s="2">
        <v>8.0535134707226712E-7</v>
      </c>
      <c r="F97" s="2">
        <v>1.314000000000001E-4</v>
      </c>
    </row>
    <row r="98" spans="2:6" ht="24" customHeight="1">
      <c r="B98" s="2">
        <v>1054.5195564745652</v>
      </c>
      <c r="C98" s="2">
        <v>-184.73541652419865</v>
      </c>
      <c r="D98" s="2">
        <v>8.4909016801839254E-4</v>
      </c>
      <c r="E98" s="2">
        <v>8.0519148535949641E-7</v>
      </c>
      <c r="F98" s="2">
        <v>1.3320000000000009E-4</v>
      </c>
    </row>
    <row r="99" spans="2:6" ht="24" customHeight="1">
      <c r="B99" s="2">
        <v>1068.7698207512483</v>
      </c>
      <c r="C99" s="2">
        <v>-184.73541652419865</v>
      </c>
      <c r="D99" s="2">
        <v>8.6039355497559964E-4</v>
      </c>
      <c r="E99" s="2">
        <v>8.0503167124500293E-7</v>
      </c>
      <c r="F99" s="2">
        <v>1.3500000000000008E-4</v>
      </c>
    </row>
    <row r="100" spans="2:6" ht="24" customHeight="1">
      <c r="B100" s="2">
        <v>1083.0200850279316</v>
      </c>
      <c r="C100" s="2">
        <v>-184.73541652419865</v>
      </c>
      <c r="D100" s="2">
        <v>8.7169243867550074E-4</v>
      </c>
      <c r="E100" s="2">
        <v>8.0487190470989223E-7</v>
      </c>
      <c r="F100" s="2">
        <v>1.3680000000000007E-4</v>
      </c>
    </row>
    <row r="101" spans="2:6" ht="24" customHeight="1">
      <c r="B101" s="2">
        <v>1097.2703493046149</v>
      </c>
      <c r="C101" s="2">
        <v>-184.73541652419865</v>
      </c>
      <c r="D101" s="2">
        <v>8.8298682113142999E-4</v>
      </c>
      <c r="E101" s="2">
        <v>8.0471218573527917E-7</v>
      </c>
      <c r="F101" s="2">
        <v>1.3860000000000006E-4</v>
      </c>
    </row>
    <row r="102" spans="2:6" ht="24" customHeight="1">
      <c r="B102" s="2">
        <v>1111.520613581298</v>
      </c>
      <c r="C102" s="2">
        <v>-184.73541652419865</v>
      </c>
      <c r="D102" s="2">
        <v>8.9427670435565556E-4</v>
      </c>
      <c r="E102" s="2">
        <v>8.0455251430228838E-7</v>
      </c>
      <c r="F102" s="2">
        <v>1.4040000000000005E-4</v>
      </c>
    </row>
    <row r="103" spans="2:6" ht="24" customHeight="1">
      <c r="B103" s="2">
        <v>1125.7708778579813</v>
      </c>
      <c r="C103" s="2">
        <v>-184.73541652419865</v>
      </c>
      <c r="D103" s="2">
        <v>9.0556209035938019E-4</v>
      </c>
      <c r="E103" s="2">
        <v>8.0439289039205282E-7</v>
      </c>
      <c r="F103" s="2">
        <v>1.4220000000000004E-4</v>
      </c>
    </row>
    <row r="104" spans="2:6" ht="24" customHeight="1">
      <c r="B104" s="2">
        <v>1140.0211421346644</v>
      </c>
      <c r="C104" s="2">
        <v>-184.73541652419865</v>
      </c>
      <c r="D104" s="2">
        <v>9.1684298115274083E-4</v>
      </c>
      <c r="E104" s="2">
        <v>8.042333139857149E-7</v>
      </c>
      <c r="F104" s="2">
        <v>1.4400000000000003E-4</v>
      </c>
    </row>
    <row r="105" spans="2:6" ht="24" customHeight="1">
      <c r="B105" s="2">
        <v>1154.2714064113477</v>
      </c>
      <c r="C105" s="2">
        <v>-184.73541652419865</v>
      </c>
      <c r="D105" s="2">
        <v>9.2811937874481322E-4</v>
      </c>
      <c r="E105" s="2">
        <v>8.0407378506442823E-7</v>
      </c>
      <c r="F105" s="2">
        <v>1.4580000000000002E-4</v>
      </c>
    </row>
    <row r="106" spans="2:6" ht="24" customHeight="1">
      <c r="B106" s="2">
        <v>1168.521670688031</v>
      </c>
      <c r="C106" s="2">
        <v>-184.73541652419865</v>
      </c>
      <c r="D106" s="2">
        <v>9.3939128514360646E-4</v>
      </c>
      <c r="E106" s="2">
        <v>8.0391430360935322E-7</v>
      </c>
      <c r="F106" s="2">
        <v>1.4760000000000001E-4</v>
      </c>
    </row>
    <row r="107" spans="2:6" ht="24" customHeight="1">
      <c r="B107" s="2">
        <v>1182.7719349647141</v>
      </c>
      <c r="C107" s="2">
        <v>-184.73541652419865</v>
      </c>
      <c r="D107" s="2">
        <v>9.5065870235606833E-4</v>
      </c>
      <c r="E107" s="2">
        <v>8.0375486960166128E-7</v>
      </c>
      <c r="F107" s="2">
        <v>1.494E-4</v>
      </c>
    </row>
    <row r="108" spans="2:6" ht="24" customHeight="1">
      <c r="B108" s="2">
        <v>1197.0221992413974</v>
      </c>
      <c r="C108" s="2">
        <v>-184.73541652419865</v>
      </c>
      <c r="D108" s="2">
        <v>9.6192163238808517E-4</v>
      </c>
      <c r="E108" s="2">
        <v>8.0359548302253271E-7</v>
      </c>
      <c r="F108" s="2">
        <v>1.5119999999999999E-4</v>
      </c>
    </row>
    <row r="109" spans="2:6" ht="24" customHeight="1">
      <c r="B109" s="2">
        <v>1211.2724635180805</v>
      </c>
      <c r="C109" s="2">
        <v>-184.73541652419865</v>
      </c>
      <c r="D109" s="2">
        <v>9.7318007724448037E-4</v>
      </c>
      <c r="E109" s="2">
        <v>8.0343614385315703E-7</v>
      </c>
      <c r="F109" s="2">
        <v>1.5299999999999998E-4</v>
      </c>
    </row>
    <row r="110" spans="2:6" ht="24" customHeight="1">
      <c r="B110" s="2">
        <v>1225.5227277947638</v>
      </c>
      <c r="C110" s="2">
        <v>-184.73541652419865</v>
      </c>
      <c r="D110" s="2">
        <v>9.8443403892901687E-4</v>
      </c>
      <c r="E110" s="2">
        <v>8.0327685207473223E-7</v>
      </c>
      <c r="F110" s="2">
        <v>1.5479999999999997E-4</v>
      </c>
    </row>
    <row r="111" spans="2:6" ht="24" customHeight="1">
      <c r="B111" s="2">
        <v>1239.7729920714471</v>
      </c>
      <c r="C111" s="2">
        <v>-184.73541652419865</v>
      </c>
      <c r="D111" s="2">
        <v>9.956835194443992E-4</v>
      </c>
      <c r="E111" s="2">
        <v>8.0311760766846803E-7</v>
      </c>
      <c r="F111" s="2">
        <v>1.5659999999999996E-4</v>
      </c>
    </row>
    <row r="112" spans="2:6" ht="24" customHeight="1">
      <c r="B112" s="2">
        <v>1254.0232563481302</v>
      </c>
      <c r="C112" s="2">
        <v>-184.73541652419865</v>
      </c>
      <c r="D112" s="2">
        <v>1.00692852079227E-3</v>
      </c>
      <c r="E112" s="2">
        <v>8.0295841061558108E-7</v>
      </c>
      <c r="F112" s="2">
        <v>1.5839999999999995E-4</v>
      </c>
    </row>
    <row r="113" spans="2:6" ht="24" customHeight="1">
      <c r="B113" s="2">
        <v>1268.2735206248135</v>
      </c>
      <c r="C113" s="2">
        <v>-184.73541652419865</v>
      </c>
      <c r="D113" s="2">
        <v>1.018169044973215E-3</v>
      </c>
      <c r="E113" s="2">
        <v>8.0279926089729856E-7</v>
      </c>
      <c r="F113" s="2">
        <v>1.6019999999999994E-4</v>
      </c>
    </row>
    <row r="114" spans="2:6" ht="24" customHeight="1">
      <c r="B114" s="2">
        <v>1282.5237849014966</v>
      </c>
      <c r="C114" s="2">
        <v>-184.73541652419865</v>
      </c>
      <c r="D114" s="2">
        <v>1.0294050939867599E-3</v>
      </c>
      <c r="E114" s="2">
        <v>8.0264015849485606E-7</v>
      </c>
      <c r="F114" s="2">
        <v>1.6199999999999993E-4</v>
      </c>
    </row>
    <row r="115" spans="2:6" ht="24" customHeight="1">
      <c r="B115" s="2">
        <v>1296.7740491781799</v>
      </c>
      <c r="C115" s="2">
        <v>-184.73541652419865</v>
      </c>
      <c r="D115" s="2">
        <v>1.0406366698313748E-3</v>
      </c>
      <c r="E115" s="2">
        <v>8.0248110338949942E-7</v>
      </c>
      <c r="F115" s="2">
        <v>1.6379999999999992E-4</v>
      </c>
    </row>
    <row r="116" spans="2:6" ht="24" customHeight="1">
      <c r="B116" s="2">
        <v>1311.0243134548632</v>
      </c>
      <c r="C116" s="2">
        <v>-184.73541652419865</v>
      </c>
      <c r="D116" s="2">
        <v>1.0518637745044724E-3</v>
      </c>
      <c r="E116" s="2">
        <v>8.0232209556248369E-7</v>
      </c>
      <c r="F116" s="2">
        <v>1.6559999999999991E-4</v>
      </c>
    </row>
    <row r="117" spans="2:6" ht="24" customHeight="1">
      <c r="B117" s="2">
        <v>1325.2745777315463</v>
      </c>
      <c r="C117" s="2">
        <v>-184.73541652419865</v>
      </c>
      <c r="D117" s="2">
        <v>1.0630864100024081E-3</v>
      </c>
      <c r="E117" s="2">
        <v>8.0216313499507251E-7</v>
      </c>
      <c r="F117" s="2">
        <v>1.6739999999999989E-4</v>
      </c>
    </row>
    <row r="118" spans="2:6" ht="24" customHeight="1">
      <c r="B118" s="2">
        <v>1339.5248420082296</v>
      </c>
      <c r="C118" s="2">
        <v>-184.73541652419865</v>
      </c>
      <c r="D118" s="2">
        <v>1.0743045783204827E-3</v>
      </c>
      <c r="E118" s="2">
        <v>8.0200422166853893E-7</v>
      </c>
      <c r="F118" s="2">
        <v>1.6919999999999988E-4</v>
      </c>
    </row>
    <row r="119" spans="2:6" ht="24" customHeight="1">
      <c r="B119" s="2">
        <v>1353.7751062849127</v>
      </c>
      <c r="C119" s="2">
        <v>-184.73541652419865</v>
      </c>
      <c r="D119" s="2">
        <v>1.0855182814529425E-3</v>
      </c>
      <c r="E119" s="2">
        <v>8.0184535556416606E-7</v>
      </c>
      <c r="F119" s="2">
        <v>1.7099999999999987E-4</v>
      </c>
    </row>
    <row r="120" spans="2:6" ht="24" customHeight="1">
      <c r="B120" s="2">
        <v>1368.025370561596</v>
      </c>
      <c r="C120" s="2">
        <v>-184.73541652419865</v>
      </c>
      <c r="D120" s="2">
        <v>1.096727521392979E-3</v>
      </c>
      <c r="E120" s="2">
        <v>8.0168653666324549E-7</v>
      </c>
      <c r="F120" s="2">
        <v>1.7279999999999986E-4</v>
      </c>
    </row>
    <row r="121" spans="2:6" ht="24" customHeight="1">
      <c r="B121" s="2">
        <v>1382.2756348382793</v>
      </c>
      <c r="C121" s="2">
        <v>-184.73541652419865</v>
      </c>
      <c r="D121" s="2">
        <v>1.1079323001327297E-3</v>
      </c>
      <c r="E121" s="2">
        <v>8.0152776494707823E-7</v>
      </c>
      <c r="F121" s="2">
        <v>1.7459999999999985E-4</v>
      </c>
    </row>
    <row r="122" spans="2:6" ht="24" customHeight="1">
      <c r="B122" s="2">
        <v>1396.5258991149624</v>
      </c>
      <c r="C122" s="2">
        <v>-184.73541652419865</v>
      </c>
      <c r="D122" s="2">
        <v>1.11913261966328E-3</v>
      </c>
      <c r="E122" s="2">
        <v>8.013690403969749E-7</v>
      </c>
      <c r="F122" s="2">
        <v>1.7639999999999984E-4</v>
      </c>
    </row>
    <row r="123" spans="2:6" ht="24" customHeight="1">
      <c r="B123" s="2">
        <v>1410.7761633916457</v>
      </c>
      <c r="C123" s="2">
        <v>-184.73541652419865</v>
      </c>
      <c r="D123" s="2">
        <v>1.1303284819746623E-3</v>
      </c>
      <c r="E123" s="2">
        <v>8.0121036299425463E-7</v>
      </c>
      <c r="F123" s="2">
        <v>1.7819999999999983E-4</v>
      </c>
    </row>
    <row r="124" spans="2:6" ht="24" customHeight="1">
      <c r="B124" s="2">
        <v>1425.0264276683288</v>
      </c>
      <c r="C124" s="2">
        <v>-184.73541652419865</v>
      </c>
      <c r="D124" s="2">
        <v>1.1415198890558586E-3</v>
      </c>
      <c r="E124" s="2">
        <v>8.0105173272024702E-7</v>
      </c>
      <c r="F124" s="2">
        <v>1.7999999999999982E-4</v>
      </c>
    </row>
  </sheetData>
  <phoneticPr fontId="5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D403-05AF-408B-A3FF-997B361AB632}">
  <sheetPr codeName="Sheet2"/>
  <dimension ref="A1:K1001"/>
  <sheetViews>
    <sheetView zoomScale="93" workbookViewId="0">
      <selection activeCell="F9" sqref="F9"/>
    </sheetView>
  </sheetViews>
  <sheetFormatPr defaultColWidth="9" defaultRowHeight="15"/>
  <cols>
    <col min="1" max="1" width="9" style="1"/>
    <col min="2" max="2" width="11" style="1" bestFit="1" customWidth="1"/>
    <col min="3" max="7" width="9" style="1"/>
    <col min="8" max="8" width="12.125" style="1" bestFit="1" customWidth="1"/>
    <col min="9" max="10" width="9" style="1"/>
    <col min="11" max="11" width="11.375" style="1" bestFit="1" customWidth="1"/>
    <col min="12" max="16384" width="9" style="1"/>
  </cols>
  <sheetData>
    <row r="1" spans="1:11">
      <c r="A1" s="1" t="s">
        <v>40</v>
      </c>
      <c r="B1" s="1">
        <f>PI()/36</f>
        <v>8.7266462599716474E-2</v>
      </c>
      <c r="C1" s="1" t="s">
        <v>41</v>
      </c>
      <c r="J1" s="1" t="s">
        <v>42</v>
      </c>
      <c r="K1" s="1" t="s">
        <v>43</v>
      </c>
    </row>
    <row r="2" spans="1:11">
      <c r="A2" s="1" t="s">
        <v>44</v>
      </c>
      <c r="B2" s="1">
        <v>0.01</v>
      </c>
      <c r="C2" s="1" t="s">
        <v>45</v>
      </c>
      <c r="J2" s="1">
        <v>0</v>
      </c>
      <c r="K2" s="1">
        <f>B$5*B$6*SIN(B$1)*(B$7*(J2+1)+B$8*J2*(J2+1)/2000)/(B$3*1000*B$2)</f>
        <v>2.4403607969344286E-12</v>
      </c>
    </row>
    <row r="3" spans="1:11">
      <c r="A3" s="1" t="s">
        <v>46</v>
      </c>
      <c r="B3" s="1">
        <v>35000000000</v>
      </c>
      <c r="C3" s="1" t="s">
        <v>47</v>
      </c>
      <c r="D3" s="1" t="s">
        <v>48</v>
      </c>
      <c r="G3" s="1" t="s">
        <v>49</v>
      </c>
      <c r="H3" s="1">
        <f>B5*B6*SIN(B1)*(B7*B4+B8*(B4-1)/2)/(B3*B4*B2)</f>
        <v>5.9997246336951707E-9</v>
      </c>
      <c r="I3" s="1" t="s">
        <v>50</v>
      </c>
      <c r="J3" s="1">
        <v>1</v>
      </c>
      <c r="K3" s="1">
        <f t="shared" ref="K3:K66" si="0">B$5*B$6*SIN(B$1)*(B$7*(J3+1)+B$8*J3*(J3+1)/2000)/(B$3*1000*B$2)</f>
        <v>4.8878474473959063E-12</v>
      </c>
    </row>
    <row r="4" spans="1:11">
      <c r="A4" s="1" t="s">
        <v>51</v>
      </c>
      <c r="B4" s="1">
        <v>1000</v>
      </c>
      <c r="C4" s="1" t="s">
        <v>52</v>
      </c>
      <c r="J4" s="1">
        <v>2</v>
      </c>
      <c r="K4" s="1">
        <f t="shared" si="0"/>
        <v>7.3424599513844327E-12</v>
      </c>
    </row>
    <row r="5" spans="1:11">
      <c r="A5" s="1" t="s">
        <v>53</v>
      </c>
      <c r="B5" s="1">
        <v>0.2</v>
      </c>
      <c r="C5" s="1" t="s">
        <v>50</v>
      </c>
      <c r="J5" s="1">
        <v>3</v>
      </c>
      <c r="K5" s="1">
        <f t="shared" si="0"/>
        <v>9.8041983089000058E-12</v>
      </c>
    </row>
    <row r="6" spans="1:11">
      <c r="A6" s="1" t="s">
        <v>54</v>
      </c>
      <c r="B6" s="1">
        <v>9.8000000000000007</v>
      </c>
      <c r="C6" s="1" t="s">
        <v>55</v>
      </c>
      <c r="J6" s="1">
        <v>4</v>
      </c>
      <c r="K6" s="1">
        <f t="shared" si="0"/>
        <v>1.2273062519942632E-11</v>
      </c>
    </row>
    <row r="7" spans="1:11">
      <c r="A7" s="1" t="s">
        <v>56</v>
      </c>
      <c r="B7" s="1">
        <v>5</v>
      </c>
      <c r="C7" s="1" t="s">
        <v>57</v>
      </c>
      <c r="J7" s="1">
        <v>5</v>
      </c>
      <c r="K7" s="1">
        <f t="shared" si="0"/>
        <v>1.47490525845123E-11</v>
      </c>
    </row>
    <row r="8" spans="1:11">
      <c r="A8" s="1" t="s">
        <v>50</v>
      </c>
      <c r="B8" s="1">
        <f>B5*B2*B11</f>
        <v>14.6</v>
      </c>
      <c r="C8" s="1" t="s">
        <v>57</v>
      </c>
      <c r="J8" s="1">
        <v>6</v>
      </c>
      <c r="K8" s="1">
        <f t="shared" si="0"/>
        <v>1.7232168502609024E-11</v>
      </c>
    </row>
    <row r="9" spans="1:11">
      <c r="J9" s="1">
        <v>7</v>
      </c>
      <c r="K9" s="1">
        <f t="shared" si="0"/>
        <v>1.972241027423279E-11</v>
      </c>
    </row>
    <row r="10" spans="1:11">
      <c r="J10" s="1">
        <v>8</v>
      </c>
      <c r="K10" s="1">
        <f t="shared" si="0"/>
        <v>2.2219777899383605E-11</v>
      </c>
    </row>
    <row r="11" spans="1:11">
      <c r="A11" s="1" t="s">
        <v>58</v>
      </c>
      <c r="B11" s="1">
        <v>7300</v>
      </c>
      <c r="C11" s="1" t="s">
        <v>59</v>
      </c>
      <c r="J11" s="1">
        <v>9</v>
      </c>
      <c r="K11" s="1">
        <f t="shared" si="0"/>
        <v>2.4724271378061471E-11</v>
      </c>
    </row>
    <row r="12" spans="1:11">
      <c r="J12" s="1">
        <v>10</v>
      </c>
      <c r="K12" s="1">
        <f t="shared" si="0"/>
        <v>2.7235890710266385E-11</v>
      </c>
    </row>
    <row r="13" spans="1:11">
      <c r="J13" s="1">
        <v>11</v>
      </c>
      <c r="K13" s="1">
        <f t="shared" si="0"/>
        <v>2.975463589599835E-11</v>
      </c>
    </row>
    <row r="14" spans="1:11">
      <c r="J14" s="1">
        <v>12</v>
      </c>
      <c r="K14" s="1">
        <f t="shared" si="0"/>
        <v>3.2280506935257361E-11</v>
      </c>
    </row>
    <row r="15" spans="1:11">
      <c r="J15" s="1">
        <v>13</v>
      </c>
      <c r="K15" s="1">
        <f t="shared" si="0"/>
        <v>3.481350382804342E-11</v>
      </c>
    </row>
    <row r="16" spans="1:11">
      <c r="J16" s="1">
        <v>14</v>
      </c>
      <c r="K16" s="1">
        <f t="shared" si="0"/>
        <v>3.7353626574356534E-11</v>
      </c>
    </row>
    <row r="17" spans="10:11">
      <c r="J17" s="1">
        <v>15</v>
      </c>
      <c r="K17" s="1">
        <f t="shared" si="0"/>
        <v>3.9900875174196683E-11</v>
      </c>
    </row>
    <row r="18" spans="10:11">
      <c r="J18" s="1">
        <v>16</v>
      </c>
      <c r="K18" s="1">
        <f t="shared" si="0"/>
        <v>4.2455249627563893E-11</v>
      </c>
    </row>
    <row r="19" spans="10:11">
      <c r="J19" s="1">
        <v>17</v>
      </c>
      <c r="K19" s="1">
        <f t="shared" si="0"/>
        <v>4.5016749934458145E-11</v>
      </c>
    </row>
    <row r="20" spans="10:11">
      <c r="J20" s="1">
        <v>18</v>
      </c>
      <c r="K20" s="1">
        <f t="shared" si="0"/>
        <v>4.7585376094879452E-11</v>
      </c>
    </row>
    <row r="21" spans="10:11">
      <c r="J21" s="1">
        <v>19</v>
      </c>
      <c r="K21" s="1">
        <f t="shared" si="0"/>
        <v>5.01611281088278E-11</v>
      </c>
    </row>
    <row r="22" spans="10:11">
      <c r="J22" s="1">
        <v>20</v>
      </c>
      <c r="K22" s="1">
        <f t="shared" si="0"/>
        <v>5.2744005976303197E-11</v>
      </c>
    </row>
    <row r="23" spans="10:11">
      <c r="J23" s="1">
        <v>21</v>
      </c>
      <c r="K23" s="1">
        <f t="shared" si="0"/>
        <v>5.5334009697305649E-11</v>
      </c>
    </row>
    <row r="24" spans="10:11">
      <c r="J24" s="1">
        <v>22</v>
      </c>
      <c r="K24" s="1">
        <f t="shared" si="0"/>
        <v>5.7931139271835142E-11</v>
      </c>
    </row>
    <row r="25" spans="10:11">
      <c r="J25" s="1">
        <v>23</v>
      </c>
      <c r="K25" s="1">
        <f t="shared" si="0"/>
        <v>6.053539469989169E-11</v>
      </c>
    </row>
    <row r="26" spans="10:11">
      <c r="J26" s="1">
        <v>24</v>
      </c>
      <c r="K26" s="1">
        <f t="shared" si="0"/>
        <v>6.3146775981475274E-11</v>
      </c>
    </row>
    <row r="27" spans="10:11">
      <c r="J27" s="1">
        <v>25</v>
      </c>
      <c r="K27" s="1">
        <f t="shared" si="0"/>
        <v>6.5765283116585931E-11</v>
      </c>
    </row>
    <row r="28" spans="10:11">
      <c r="J28" s="1">
        <v>26</v>
      </c>
      <c r="K28" s="1">
        <f t="shared" si="0"/>
        <v>6.8390916105223611E-11</v>
      </c>
    </row>
    <row r="29" spans="10:11">
      <c r="J29" s="1">
        <v>27</v>
      </c>
      <c r="K29" s="1">
        <f t="shared" si="0"/>
        <v>7.1023674947388353E-11</v>
      </c>
    </row>
    <row r="30" spans="10:11">
      <c r="J30" s="1">
        <v>28</v>
      </c>
      <c r="K30" s="1">
        <f t="shared" si="0"/>
        <v>7.3663559643080142E-11</v>
      </c>
    </row>
    <row r="31" spans="10:11">
      <c r="J31" s="1">
        <v>29</v>
      </c>
      <c r="K31" s="1">
        <f t="shared" si="0"/>
        <v>7.631057019229898E-11</v>
      </c>
    </row>
    <row r="32" spans="10:11">
      <c r="J32" s="1">
        <v>30</v>
      </c>
      <c r="K32" s="1">
        <f t="shared" si="0"/>
        <v>7.8964706595044853E-11</v>
      </c>
    </row>
    <row r="33" spans="10:11">
      <c r="J33" s="1">
        <v>31</v>
      </c>
      <c r="K33" s="1">
        <f t="shared" si="0"/>
        <v>8.16259688513178E-11</v>
      </c>
    </row>
    <row r="34" spans="10:11">
      <c r="J34" s="1">
        <v>32</v>
      </c>
      <c r="K34" s="1">
        <f t="shared" si="0"/>
        <v>8.429435696111777E-11</v>
      </c>
    </row>
    <row r="35" spans="10:11">
      <c r="J35" s="1">
        <v>33</v>
      </c>
      <c r="K35" s="1">
        <f t="shared" si="0"/>
        <v>8.69698709244448E-11</v>
      </c>
    </row>
    <row r="36" spans="10:11">
      <c r="J36" s="1">
        <v>34</v>
      </c>
      <c r="K36" s="1">
        <f t="shared" si="0"/>
        <v>8.9652510741298892E-11</v>
      </c>
    </row>
    <row r="37" spans="10:11">
      <c r="J37" s="1">
        <v>35</v>
      </c>
      <c r="K37" s="1">
        <f t="shared" si="0"/>
        <v>9.234227641168002E-11</v>
      </c>
    </row>
    <row r="38" spans="10:11">
      <c r="J38" s="1">
        <v>36</v>
      </c>
      <c r="K38" s="1">
        <f t="shared" si="0"/>
        <v>9.5039167935588195E-11</v>
      </c>
    </row>
    <row r="39" spans="10:11">
      <c r="J39" s="1">
        <v>37</v>
      </c>
      <c r="K39" s="1">
        <f t="shared" si="0"/>
        <v>9.7743185313023419E-11</v>
      </c>
    </row>
    <row r="40" spans="10:11">
      <c r="J40" s="1">
        <v>38</v>
      </c>
      <c r="K40" s="1">
        <f t="shared" si="0"/>
        <v>1.0045432854398569E-10</v>
      </c>
    </row>
    <row r="41" spans="10:11">
      <c r="J41" s="1">
        <v>39</v>
      </c>
      <c r="K41" s="1">
        <f t="shared" si="0"/>
        <v>1.0317259762847501E-10</v>
      </c>
    </row>
    <row r="42" spans="10:11">
      <c r="J42" s="1">
        <v>40</v>
      </c>
      <c r="K42" s="1">
        <f t="shared" si="0"/>
        <v>1.0589799256649138E-10</v>
      </c>
    </row>
    <row r="43" spans="10:11">
      <c r="J43" s="1">
        <v>41</v>
      </c>
      <c r="K43" s="1">
        <f t="shared" si="0"/>
        <v>1.086305133580348E-10</v>
      </c>
    </row>
    <row r="44" spans="10:11">
      <c r="J44" s="1">
        <v>42</v>
      </c>
      <c r="K44" s="1">
        <f t="shared" si="0"/>
        <v>1.1137016000310526E-10</v>
      </c>
    </row>
    <row r="45" spans="10:11">
      <c r="J45" s="1">
        <v>43</v>
      </c>
      <c r="K45" s="1">
        <f t="shared" si="0"/>
        <v>1.1411693250170278E-10</v>
      </c>
    </row>
    <row r="46" spans="10:11">
      <c r="J46" s="1">
        <v>44</v>
      </c>
      <c r="K46" s="1">
        <f t="shared" si="0"/>
        <v>1.1687083085382734E-10</v>
      </c>
    </row>
    <row r="47" spans="10:11">
      <c r="J47" s="1">
        <v>45</v>
      </c>
      <c r="K47" s="1">
        <f t="shared" si="0"/>
        <v>1.1963185505947896E-10</v>
      </c>
    </row>
    <row r="48" spans="10:11">
      <c r="J48" s="1">
        <v>46</v>
      </c>
      <c r="K48" s="1">
        <f t="shared" si="0"/>
        <v>1.2240000511865762E-10</v>
      </c>
    </row>
    <row r="49" spans="10:11">
      <c r="J49" s="1">
        <v>47</v>
      </c>
      <c r="K49" s="1">
        <f t="shared" si="0"/>
        <v>1.2517528103136331E-10</v>
      </c>
    </row>
    <row r="50" spans="10:11">
      <c r="J50" s="1">
        <v>48</v>
      </c>
      <c r="K50" s="1">
        <f t="shared" si="0"/>
        <v>1.2795768279759609E-10</v>
      </c>
    </row>
    <row r="51" spans="10:11">
      <c r="J51" s="1">
        <v>49</v>
      </c>
      <c r="K51" s="1">
        <f t="shared" si="0"/>
        <v>1.3074721041735591E-10</v>
      </c>
    </row>
    <row r="52" spans="10:11">
      <c r="J52" s="1">
        <v>50</v>
      </c>
      <c r="K52" s="1">
        <f t="shared" si="0"/>
        <v>1.3354386389064276E-10</v>
      </c>
    </row>
    <row r="53" spans="10:11">
      <c r="J53" s="1">
        <v>51</v>
      </c>
      <c r="K53" s="1">
        <f t="shared" si="0"/>
        <v>1.3634764321745665E-10</v>
      </c>
    </row>
    <row r="54" spans="10:11">
      <c r="J54" s="1">
        <v>52</v>
      </c>
      <c r="K54" s="1">
        <f t="shared" si="0"/>
        <v>1.3915854839779762E-10</v>
      </c>
    </row>
    <row r="55" spans="10:11">
      <c r="J55" s="1">
        <v>53</v>
      </c>
      <c r="K55" s="1">
        <f t="shared" si="0"/>
        <v>1.419765794316656E-10</v>
      </c>
    </row>
    <row r="56" spans="10:11">
      <c r="J56" s="1">
        <v>54</v>
      </c>
      <c r="K56" s="1">
        <f t="shared" si="0"/>
        <v>1.4480173631906065E-10</v>
      </c>
    </row>
    <row r="57" spans="10:11">
      <c r="J57" s="1">
        <v>55</v>
      </c>
      <c r="K57" s="1">
        <f t="shared" si="0"/>
        <v>1.4763401905998275E-10</v>
      </c>
    </row>
    <row r="58" spans="10:11">
      <c r="J58" s="1">
        <v>56</v>
      </c>
      <c r="K58" s="1">
        <f t="shared" si="0"/>
        <v>1.504734276544319E-10</v>
      </c>
    </row>
    <row r="59" spans="10:11">
      <c r="J59" s="1">
        <v>57</v>
      </c>
      <c r="K59" s="1">
        <f t="shared" si="0"/>
        <v>1.533199621024081E-10</v>
      </c>
    </row>
    <row r="60" spans="10:11">
      <c r="J60" s="1">
        <v>58</v>
      </c>
      <c r="K60" s="1">
        <f t="shared" si="0"/>
        <v>1.5617362240391134E-10</v>
      </c>
    </row>
    <row r="61" spans="10:11">
      <c r="J61" s="1">
        <v>59</v>
      </c>
      <c r="K61" s="1">
        <f t="shared" si="0"/>
        <v>1.5903440855894163E-10</v>
      </c>
    </row>
    <row r="62" spans="10:11">
      <c r="J62" s="1">
        <v>60</v>
      </c>
      <c r="K62" s="1">
        <f t="shared" si="0"/>
        <v>1.6190232056749897E-10</v>
      </c>
    </row>
    <row r="63" spans="10:11">
      <c r="J63" s="1">
        <v>61</v>
      </c>
      <c r="K63" s="1">
        <f t="shared" si="0"/>
        <v>1.6477735842958339E-10</v>
      </c>
    </row>
    <row r="64" spans="10:11">
      <c r="J64" s="1">
        <v>62</v>
      </c>
      <c r="K64" s="1">
        <f t="shared" si="0"/>
        <v>1.6765952214519482E-10</v>
      </c>
    </row>
    <row r="65" spans="10:11">
      <c r="J65" s="1">
        <v>63</v>
      </c>
      <c r="K65" s="1">
        <f t="shared" si="0"/>
        <v>1.7054881171433331E-10</v>
      </c>
    </row>
    <row r="66" spans="10:11">
      <c r="J66" s="1">
        <v>64</v>
      </c>
      <c r="K66" s="1">
        <f t="shared" si="0"/>
        <v>1.7344522713699881E-10</v>
      </c>
    </row>
    <row r="67" spans="10:11">
      <c r="J67" s="1">
        <v>65</v>
      </c>
      <c r="K67" s="1">
        <f t="shared" ref="K67:K130" si="1">B$5*B$6*SIN(B$1)*(B$7*(J67+1)+B$8*J67*(J67+1)/2000)/(B$3*1000*B$2)</f>
        <v>1.763487684131914E-10</v>
      </c>
    </row>
    <row r="68" spans="10:11">
      <c r="J68" s="1">
        <v>66</v>
      </c>
      <c r="K68" s="1">
        <f t="shared" si="1"/>
        <v>1.7925943554291103E-10</v>
      </c>
    </row>
    <row r="69" spans="10:11">
      <c r="J69" s="1">
        <v>67</v>
      </c>
      <c r="K69" s="1">
        <f t="shared" si="1"/>
        <v>1.8217722852615774E-10</v>
      </c>
    </row>
    <row r="70" spans="10:11">
      <c r="J70" s="1">
        <v>68</v>
      </c>
      <c r="K70" s="1">
        <f t="shared" si="1"/>
        <v>1.8510214736293143E-10</v>
      </c>
    </row>
    <row r="71" spans="10:11">
      <c r="J71" s="1">
        <v>69</v>
      </c>
      <c r="K71" s="1">
        <f t="shared" si="1"/>
        <v>1.8803419205323224E-10</v>
      </c>
    </row>
    <row r="72" spans="10:11">
      <c r="J72" s="1">
        <v>70</v>
      </c>
      <c r="K72" s="1">
        <f t="shared" si="1"/>
        <v>1.9097336259706005E-10</v>
      </c>
    </row>
    <row r="73" spans="10:11">
      <c r="J73" s="1">
        <v>71</v>
      </c>
      <c r="K73" s="1">
        <f t="shared" si="1"/>
        <v>1.9391965899441491E-10</v>
      </c>
    </row>
    <row r="74" spans="10:11">
      <c r="J74" s="1">
        <v>72</v>
      </c>
      <c r="K74" s="1">
        <f t="shared" si="1"/>
        <v>1.9687308124529685E-10</v>
      </c>
    </row>
    <row r="75" spans="10:11">
      <c r="J75" s="1">
        <v>73</v>
      </c>
      <c r="K75" s="1">
        <f t="shared" si="1"/>
        <v>1.9983362934970582E-10</v>
      </c>
    </row>
    <row r="76" spans="10:11">
      <c r="J76" s="1">
        <v>74</v>
      </c>
      <c r="K76" s="1">
        <f t="shared" si="1"/>
        <v>2.0280130330764183E-10</v>
      </c>
    </row>
    <row r="77" spans="10:11">
      <c r="J77" s="1">
        <v>75</v>
      </c>
      <c r="K77" s="1">
        <f t="shared" si="1"/>
        <v>2.057761031191049E-10</v>
      </c>
    </row>
    <row r="78" spans="10:11">
      <c r="J78" s="1">
        <v>76</v>
      </c>
      <c r="K78" s="1">
        <f t="shared" si="1"/>
        <v>2.0875802878409506E-10</v>
      </c>
    </row>
    <row r="79" spans="10:11">
      <c r="J79" s="1">
        <v>77</v>
      </c>
      <c r="K79" s="1">
        <f t="shared" si="1"/>
        <v>2.117470803026122E-10</v>
      </c>
    </row>
    <row r="80" spans="10:11">
      <c r="J80" s="1">
        <v>78</v>
      </c>
      <c r="K80" s="1">
        <f t="shared" si="1"/>
        <v>2.147432576746564E-10</v>
      </c>
    </row>
    <row r="81" spans="10:11">
      <c r="J81" s="1">
        <v>79</v>
      </c>
      <c r="K81" s="1">
        <f t="shared" si="1"/>
        <v>2.1774656090022764E-10</v>
      </c>
    </row>
    <row r="82" spans="10:11">
      <c r="J82" s="1">
        <v>80</v>
      </c>
      <c r="K82" s="1">
        <f t="shared" si="1"/>
        <v>2.2075698997932599E-10</v>
      </c>
    </row>
    <row r="83" spans="10:11">
      <c r="J83" s="1">
        <v>81</v>
      </c>
      <c r="K83" s="1">
        <f t="shared" si="1"/>
        <v>2.2377454491195135E-10</v>
      </c>
    </row>
    <row r="84" spans="10:11">
      <c r="J84" s="1">
        <v>82</v>
      </c>
      <c r="K84" s="1">
        <f t="shared" si="1"/>
        <v>2.2679922569810378E-10</v>
      </c>
    </row>
    <row r="85" spans="10:11">
      <c r="J85" s="1">
        <v>83</v>
      </c>
      <c r="K85" s="1">
        <f t="shared" si="1"/>
        <v>2.2983103233778321E-10</v>
      </c>
    </row>
    <row r="86" spans="10:11">
      <c r="J86" s="1">
        <v>84</v>
      </c>
      <c r="K86" s="1">
        <f t="shared" si="1"/>
        <v>2.3286996483098973E-10</v>
      </c>
    </row>
    <row r="87" spans="10:11">
      <c r="J87" s="1">
        <v>85</v>
      </c>
      <c r="K87" s="1">
        <f t="shared" si="1"/>
        <v>2.3591602317772325E-10</v>
      </c>
    </row>
    <row r="88" spans="10:11">
      <c r="J88" s="1">
        <v>86</v>
      </c>
      <c r="K88" s="1">
        <f t="shared" si="1"/>
        <v>2.3896920737798392E-10</v>
      </c>
    </row>
    <row r="89" spans="10:11">
      <c r="J89" s="1">
        <v>87</v>
      </c>
      <c r="K89" s="1">
        <f t="shared" si="1"/>
        <v>2.4202951743177152E-10</v>
      </c>
    </row>
    <row r="90" spans="10:11">
      <c r="J90" s="1">
        <v>88</v>
      </c>
      <c r="K90" s="1">
        <f t="shared" si="1"/>
        <v>2.450969533390862E-10</v>
      </c>
    </row>
    <row r="91" spans="10:11">
      <c r="J91" s="1">
        <v>89</v>
      </c>
      <c r="K91" s="1">
        <f t="shared" si="1"/>
        <v>2.4817151509992798E-10</v>
      </c>
    </row>
    <row r="92" spans="10:11">
      <c r="J92" s="1">
        <v>90</v>
      </c>
      <c r="K92" s="1">
        <f t="shared" si="1"/>
        <v>2.5125320271429679E-10</v>
      </c>
    </row>
    <row r="93" spans="10:11">
      <c r="J93" s="1">
        <v>91</v>
      </c>
      <c r="K93" s="1">
        <f t="shared" si="1"/>
        <v>2.5434201618219263E-10</v>
      </c>
    </row>
    <row r="94" spans="10:11">
      <c r="J94" s="1">
        <v>92</v>
      </c>
      <c r="K94" s="1">
        <f t="shared" si="1"/>
        <v>2.5743795550361551E-10</v>
      </c>
    </row>
    <row r="95" spans="10:11">
      <c r="J95" s="1">
        <v>93</v>
      </c>
      <c r="K95" s="1">
        <f t="shared" si="1"/>
        <v>2.6054102067856542E-10</v>
      </c>
    </row>
    <row r="96" spans="10:11">
      <c r="J96" s="1">
        <v>94</v>
      </c>
      <c r="K96" s="1">
        <f t="shared" si="1"/>
        <v>2.6365121170704242E-10</v>
      </c>
    </row>
    <row r="97" spans="10:11">
      <c r="J97" s="1">
        <v>95</v>
      </c>
      <c r="K97" s="1">
        <f t="shared" si="1"/>
        <v>2.6676852858904651E-10</v>
      </c>
    </row>
    <row r="98" spans="10:11">
      <c r="J98" s="1">
        <v>96</v>
      </c>
      <c r="K98" s="1">
        <f t="shared" si="1"/>
        <v>2.6989297132457753E-10</v>
      </c>
    </row>
    <row r="99" spans="10:11">
      <c r="J99" s="1">
        <v>97</v>
      </c>
      <c r="K99" s="1">
        <f t="shared" si="1"/>
        <v>2.7302453991363574E-10</v>
      </c>
    </row>
    <row r="100" spans="10:11">
      <c r="J100" s="1">
        <v>98</v>
      </c>
      <c r="K100" s="1">
        <f t="shared" si="1"/>
        <v>2.7616323435622094E-10</v>
      </c>
    </row>
    <row r="101" spans="10:11">
      <c r="J101" s="1">
        <v>99</v>
      </c>
      <c r="K101" s="1">
        <f t="shared" si="1"/>
        <v>2.7930905465233311E-10</v>
      </c>
    </row>
    <row r="102" spans="10:11">
      <c r="J102" s="1">
        <v>100</v>
      </c>
      <c r="K102" s="1">
        <f t="shared" si="1"/>
        <v>2.8246200080197243E-10</v>
      </c>
    </row>
    <row r="103" spans="10:11">
      <c r="J103" s="1">
        <v>101</v>
      </c>
      <c r="K103" s="1">
        <f t="shared" si="1"/>
        <v>2.8562207280513878E-10</v>
      </c>
    </row>
    <row r="104" spans="10:11">
      <c r="J104" s="1">
        <v>102</v>
      </c>
      <c r="K104" s="1">
        <f t="shared" si="1"/>
        <v>2.8878927066183212E-10</v>
      </c>
    </row>
    <row r="105" spans="10:11">
      <c r="J105" s="1">
        <v>103</v>
      </c>
      <c r="K105" s="1">
        <f t="shared" si="1"/>
        <v>2.9196359437205254E-10</v>
      </c>
    </row>
    <row r="106" spans="10:11">
      <c r="J106" s="1">
        <v>104</v>
      </c>
      <c r="K106" s="1">
        <f t="shared" si="1"/>
        <v>2.9514504393580005E-10</v>
      </c>
    </row>
    <row r="107" spans="10:11">
      <c r="J107" s="1">
        <v>105</v>
      </c>
      <c r="K107" s="1">
        <f t="shared" si="1"/>
        <v>2.9833361935307459E-10</v>
      </c>
    </row>
    <row r="108" spans="10:11">
      <c r="J108" s="1">
        <v>106</v>
      </c>
      <c r="K108" s="1">
        <f t="shared" si="1"/>
        <v>3.0152932062387612E-10</v>
      </c>
    </row>
    <row r="109" spans="10:11">
      <c r="J109" s="1">
        <v>107</v>
      </c>
      <c r="K109" s="1">
        <f t="shared" si="1"/>
        <v>3.0473214774820474E-10</v>
      </c>
    </row>
    <row r="110" spans="10:11">
      <c r="J110" s="1">
        <v>108</v>
      </c>
      <c r="K110" s="1">
        <f t="shared" si="1"/>
        <v>3.0794210072606044E-10</v>
      </c>
    </row>
    <row r="111" spans="10:11">
      <c r="J111" s="1">
        <v>109</v>
      </c>
      <c r="K111" s="1">
        <f t="shared" si="1"/>
        <v>3.1115917955744313E-10</v>
      </c>
    </row>
    <row r="112" spans="10:11">
      <c r="J112" s="1">
        <v>110</v>
      </c>
      <c r="K112" s="1">
        <f t="shared" si="1"/>
        <v>3.1438338424235295E-10</v>
      </c>
    </row>
    <row r="113" spans="10:11">
      <c r="J113" s="1">
        <v>111</v>
      </c>
      <c r="K113" s="1">
        <f t="shared" si="1"/>
        <v>3.1761471478078971E-10</v>
      </c>
    </row>
    <row r="114" spans="10:11">
      <c r="J114" s="1">
        <v>112</v>
      </c>
      <c r="K114" s="1">
        <f t="shared" si="1"/>
        <v>3.2085317117275355E-10</v>
      </c>
    </row>
    <row r="115" spans="10:11">
      <c r="J115" s="1">
        <v>113</v>
      </c>
      <c r="K115" s="1">
        <f t="shared" si="1"/>
        <v>3.2409875341824448E-10</v>
      </c>
    </row>
    <row r="116" spans="10:11">
      <c r="J116" s="1">
        <v>114</v>
      </c>
      <c r="K116" s="1">
        <f t="shared" si="1"/>
        <v>3.2735146151726245E-10</v>
      </c>
    </row>
    <row r="117" spans="10:11">
      <c r="J117" s="1">
        <v>115</v>
      </c>
      <c r="K117" s="1">
        <f t="shared" si="1"/>
        <v>3.306112954698075E-10</v>
      </c>
    </row>
    <row r="118" spans="10:11">
      <c r="J118" s="1">
        <v>116</v>
      </c>
      <c r="K118" s="1">
        <f t="shared" si="1"/>
        <v>3.3387825527587954E-10</v>
      </c>
    </row>
    <row r="119" spans="10:11">
      <c r="J119" s="1">
        <v>117</v>
      </c>
      <c r="K119" s="1">
        <f t="shared" si="1"/>
        <v>3.3715234093547867E-10</v>
      </c>
    </row>
    <row r="120" spans="10:11">
      <c r="J120" s="1">
        <v>118</v>
      </c>
      <c r="K120" s="1">
        <f t="shared" si="1"/>
        <v>3.4043355244860477E-10</v>
      </c>
    </row>
    <row r="121" spans="10:11">
      <c r="J121" s="1">
        <v>119</v>
      </c>
      <c r="K121" s="1">
        <f t="shared" si="1"/>
        <v>3.4372188981525797E-10</v>
      </c>
    </row>
    <row r="122" spans="10:11">
      <c r="J122" s="1">
        <v>120</v>
      </c>
      <c r="K122" s="1">
        <f t="shared" si="1"/>
        <v>3.470173530354382E-10</v>
      </c>
    </row>
    <row r="123" spans="10:11">
      <c r="J123" s="1">
        <v>121</v>
      </c>
      <c r="K123" s="1">
        <f t="shared" si="1"/>
        <v>3.5031994210914557E-10</v>
      </c>
    </row>
    <row r="124" spans="10:11">
      <c r="J124" s="1">
        <v>122</v>
      </c>
      <c r="K124" s="1">
        <f t="shared" si="1"/>
        <v>3.5362965703637992E-10</v>
      </c>
    </row>
    <row r="125" spans="10:11">
      <c r="J125" s="1">
        <v>123</v>
      </c>
      <c r="K125" s="1">
        <f t="shared" si="1"/>
        <v>3.5694649781714131E-10</v>
      </c>
    </row>
    <row r="126" spans="10:11">
      <c r="J126" s="1">
        <v>124</v>
      </c>
      <c r="K126" s="1">
        <f t="shared" si="1"/>
        <v>3.6027046445142973E-10</v>
      </c>
    </row>
    <row r="127" spans="10:11">
      <c r="J127" s="1">
        <v>125</v>
      </c>
      <c r="K127" s="1">
        <f t="shared" si="1"/>
        <v>3.6360155693924524E-10</v>
      </c>
    </row>
    <row r="128" spans="10:11">
      <c r="J128" s="1">
        <v>126</v>
      </c>
      <c r="K128" s="1">
        <f t="shared" si="1"/>
        <v>3.6693977528058774E-10</v>
      </c>
    </row>
    <row r="129" spans="10:11">
      <c r="J129" s="1">
        <v>127</v>
      </c>
      <c r="K129" s="1">
        <f t="shared" si="1"/>
        <v>3.7028511947545742E-10</v>
      </c>
    </row>
    <row r="130" spans="10:11">
      <c r="J130" s="1">
        <v>128</v>
      </c>
      <c r="K130" s="1">
        <f t="shared" si="1"/>
        <v>3.7363758952385404E-10</v>
      </c>
    </row>
    <row r="131" spans="10:11">
      <c r="J131" s="1">
        <v>129</v>
      </c>
      <c r="K131" s="1">
        <f t="shared" ref="K131:K194" si="2">B$5*B$6*SIN(B$1)*(B$7*(J131+1)+B$8*J131*(J131+1)/2000)/(B$3*1000*B$2)</f>
        <v>3.7699718542577774E-10</v>
      </c>
    </row>
    <row r="132" spans="10:11">
      <c r="J132" s="1">
        <v>130</v>
      </c>
      <c r="K132" s="1">
        <f t="shared" si="2"/>
        <v>3.8036390718122848E-10</v>
      </c>
    </row>
    <row r="133" spans="10:11">
      <c r="J133" s="1">
        <v>131</v>
      </c>
      <c r="K133" s="1">
        <f t="shared" si="2"/>
        <v>3.837377547902062E-10</v>
      </c>
    </row>
    <row r="134" spans="10:11">
      <c r="J134" s="1">
        <v>132</v>
      </c>
      <c r="K134" s="1">
        <f t="shared" si="2"/>
        <v>3.8711872825271111E-10</v>
      </c>
    </row>
    <row r="135" spans="10:11">
      <c r="J135" s="1">
        <v>133</v>
      </c>
      <c r="K135" s="1">
        <f t="shared" si="2"/>
        <v>3.9050682756874291E-10</v>
      </c>
    </row>
    <row r="136" spans="10:11">
      <c r="J136" s="1">
        <v>134</v>
      </c>
      <c r="K136" s="1">
        <f t="shared" si="2"/>
        <v>3.9390205273830189E-10</v>
      </c>
    </row>
    <row r="137" spans="10:11">
      <c r="J137" s="1">
        <v>135</v>
      </c>
      <c r="K137" s="1">
        <f t="shared" si="2"/>
        <v>3.9730440376138786E-10</v>
      </c>
    </row>
    <row r="138" spans="10:11">
      <c r="J138" s="1">
        <v>136</v>
      </c>
      <c r="K138" s="1">
        <f t="shared" si="2"/>
        <v>4.0071388063800091E-10</v>
      </c>
    </row>
    <row r="139" spans="10:11">
      <c r="J139" s="1">
        <v>137</v>
      </c>
      <c r="K139" s="1">
        <f t="shared" si="2"/>
        <v>4.0413048336814095E-10</v>
      </c>
    </row>
    <row r="140" spans="10:11">
      <c r="J140" s="1">
        <v>138</v>
      </c>
      <c r="K140" s="1">
        <f t="shared" si="2"/>
        <v>4.0755421195180808E-10</v>
      </c>
    </row>
    <row r="141" spans="10:11">
      <c r="J141" s="1">
        <v>139</v>
      </c>
      <c r="K141" s="1">
        <f t="shared" si="2"/>
        <v>4.1098506638900224E-10</v>
      </c>
    </row>
    <row r="142" spans="10:11">
      <c r="J142" s="1">
        <v>140</v>
      </c>
      <c r="K142" s="1">
        <f t="shared" si="2"/>
        <v>4.1442304667972343E-10</v>
      </c>
    </row>
    <row r="143" spans="10:11">
      <c r="J143" s="1">
        <v>141</v>
      </c>
      <c r="K143" s="1">
        <f t="shared" si="2"/>
        <v>4.1786815282397177E-10</v>
      </c>
    </row>
    <row r="144" spans="10:11">
      <c r="J144" s="1">
        <v>142</v>
      </c>
      <c r="K144" s="1">
        <f t="shared" si="2"/>
        <v>4.2132038482174703E-10</v>
      </c>
    </row>
    <row r="145" spans="10:11">
      <c r="J145" s="1">
        <v>143</v>
      </c>
      <c r="K145" s="1">
        <f t="shared" si="2"/>
        <v>4.2477974267304944E-10</v>
      </c>
    </row>
    <row r="146" spans="10:11">
      <c r="J146" s="1">
        <v>144</v>
      </c>
      <c r="K146" s="1">
        <f t="shared" si="2"/>
        <v>4.2824622637787888E-10</v>
      </c>
    </row>
    <row r="147" spans="10:11">
      <c r="J147" s="1">
        <v>145</v>
      </c>
      <c r="K147" s="1">
        <f t="shared" si="2"/>
        <v>4.3171983593623535E-10</v>
      </c>
    </row>
    <row r="148" spans="10:11">
      <c r="J148" s="1">
        <v>146</v>
      </c>
      <c r="K148" s="1">
        <f t="shared" si="2"/>
        <v>4.3520057134811881E-10</v>
      </c>
    </row>
    <row r="149" spans="10:11">
      <c r="J149" s="1">
        <v>147</v>
      </c>
      <c r="K149" s="1">
        <f t="shared" si="2"/>
        <v>4.3868843261352946E-10</v>
      </c>
    </row>
    <row r="150" spans="10:11">
      <c r="J150" s="1">
        <v>148</v>
      </c>
      <c r="K150" s="1">
        <f t="shared" si="2"/>
        <v>4.4218341973246699E-10</v>
      </c>
    </row>
    <row r="151" spans="10:11">
      <c r="J151" s="1">
        <v>149</v>
      </c>
      <c r="K151" s="1">
        <f t="shared" si="2"/>
        <v>4.4568553270493171E-10</v>
      </c>
    </row>
    <row r="152" spans="10:11">
      <c r="J152" s="1">
        <v>150</v>
      </c>
      <c r="K152" s="1">
        <f t="shared" si="2"/>
        <v>4.4919477153092342E-10</v>
      </c>
    </row>
    <row r="153" spans="10:11">
      <c r="J153" s="1">
        <v>151</v>
      </c>
      <c r="K153" s="1">
        <f t="shared" si="2"/>
        <v>4.5271113621044216E-10</v>
      </c>
    </row>
    <row r="154" spans="10:11">
      <c r="J154" s="1">
        <v>152</v>
      </c>
      <c r="K154" s="1">
        <f t="shared" si="2"/>
        <v>4.5623462674348793E-10</v>
      </c>
    </row>
    <row r="155" spans="10:11">
      <c r="J155" s="1">
        <v>153</v>
      </c>
      <c r="K155" s="1">
        <f t="shared" si="2"/>
        <v>4.5976524313006084E-10</v>
      </c>
    </row>
    <row r="156" spans="10:11">
      <c r="J156" s="1">
        <v>154</v>
      </c>
      <c r="K156" s="1">
        <f t="shared" si="2"/>
        <v>4.6330298537016069E-10</v>
      </c>
    </row>
    <row r="157" spans="10:11">
      <c r="J157" s="1">
        <v>155</v>
      </c>
      <c r="K157" s="1">
        <f t="shared" si="2"/>
        <v>4.6684785346378773E-10</v>
      </c>
    </row>
    <row r="158" spans="10:11">
      <c r="J158" s="1">
        <v>156</v>
      </c>
      <c r="K158" s="1">
        <f t="shared" si="2"/>
        <v>4.7039984741094164E-10</v>
      </c>
    </row>
    <row r="159" spans="10:11">
      <c r="J159" s="1">
        <v>157</v>
      </c>
      <c r="K159" s="1">
        <f t="shared" si="2"/>
        <v>4.739589672116227E-10</v>
      </c>
    </row>
    <row r="160" spans="10:11">
      <c r="J160" s="1">
        <v>158</v>
      </c>
      <c r="K160" s="1">
        <f t="shared" si="2"/>
        <v>4.7752521286583079E-10</v>
      </c>
    </row>
    <row r="161" spans="10:11">
      <c r="J161" s="1">
        <v>159</v>
      </c>
      <c r="K161" s="1">
        <f t="shared" si="2"/>
        <v>4.8109858437356591E-10</v>
      </c>
    </row>
    <row r="162" spans="10:11">
      <c r="J162" s="1">
        <v>160</v>
      </c>
      <c r="K162" s="1">
        <f t="shared" si="2"/>
        <v>4.8467908173482818E-10</v>
      </c>
    </row>
    <row r="163" spans="10:11">
      <c r="J163" s="1">
        <v>161</v>
      </c>
      <c r="K163" s="1">
        <f t="shared" si="2"/>
        <v>4.8826670494961737E-10</v>
      </c>
    </row>
    <row r="164" spans="10:11">
      <c r="J164" s="1">
        <v>162</v>
      </c>
      <c r="K164" s="1">
        <f t="shared" si="2"/>
        <v>4.9186145401793361E-10</v>
      </c>
    </row>
    <row r="165" spans="10:11">
      <c r="J165" s="1">
        <v>163</v>
      </c>
      <c r="K165" s="1">
        <f t="shared" si="2"/>
        <v>4.9546332893977708E-10</v>
      </c>
    </row>
    <row r="166" spans="10:11">
      <c r="J166" s="1">
        <v>164</v>
      </c>
      <c r="K166" s="1">
        <f t="shared" si="2"/>
        <v>4.9907232971514738E-10</v>
      </c>
    </row>
    <row r="167" spans="10:11">
      <c r="J167" s="1">
        <v>165</v>
      </c>
      <c r="K167" s="1">
        <f t="shared" si="2"/>
        <v>5.0268845634404493E-10</v>
      </c>
    </row>
    <row r="168" spans="10:11">
      <c r="J168" s="1">
        <v>166</v>
      </c>
      <c r="K168" s="1">
        <f t="shared" si="2"/>
        <v>5.063117088264694E-10</v>
      </c>
    </row>
    <row r="169" spans="10:11">
      <c r="J169" s="1">
        <v>167</v>
      </c>
      <c r="K169" s="1">
        <f t="shared" si="2"/>
        <v>5.0994208716242092E-10</v>
      </c>
    </row>
    <row r="170" spans="10:11">
      <c r="J170" s="1">
        <v>168</v>
      </c>
      <c r="K170" s="1">
        <f t="shared" si="2"/>
        <v>5.1357959135189946E-10</v>
      </c>
    </row>
    <row r="171" spans="10:11">
      <c r="J171" s="1">
        <v>169</v>
      </c>
      <c r="K171" s="1">
        <f t="shared" si="2"/>
        <v>5.1722422139490515E-10</v>
      </c>
    </row>
    <row r="172" spans="10:11">
      <c r="J172" s="1">
        <v>170</v>
      </c>
      <c r="K172" s="1">
        <f t="shared" si="2"/>
        <v>5.2087597729143777E-10</v>
      </c>
    </row>
    <row r="173" spans="10:11">
      <c r="J173" s="1">
        <v>171</v>
      </c>
      <c r="K173" s="1">
        <f t="shared" si="2"/>
        <v>5.2453485904149752E-10</v>
      </c>
    </row>
    <row r="174" spans="10:11">
      <c r="J174" s="1">
        <v>172</v>
      </c>
      <c r="K174" s="1">
        <f t="shared" si="2"/>
        <v>5.2820086664508431E-10</v>
      </c>
    </row>
    <row r="175" spans="10:11">
      <c r="J175" s="1">
        <v>173</v>
      </c>
      <c r="K175" s="1">
        <f t="shared" si="2"/>
        <v>5.3187400010219804E-10</v>
      </c>
    </row>
    <row r="176" spans="10:11">
      <c r="J176" s="1">
        <v>174</v>
      </c>
      <c r="K176" s="1">
        <f t="shared" si="2"/>
        <v>5.35554259412839E-10</v>
      </c>
    </row>
    <row r="177" spans="10:11">
      <c r="J177" s="1">
        <v>175</v>
      </c>
      <c r="K177" s="1">
        <f t="shared" si="2"/>
        <v>5.392416445770069E-10</v>
      </c>
    </row>
    <row r="178" spans="10:11">
      <c r="J178" s="1">
        <v>176</v>
      </c>
      <c r="K178" s="1">
        <f t="shared" si="2"/>
        <v>5.4293615559470184E-10</v>
      </c>
    </row>
    <row r="179" spans="10:11">
      <c r="J179" s="1">
        <v>177</v>
      </c>
      <c r="K179" s="1">
        <f t="shared" si="2"/>
        <v>5.4663779246592391E-10</v>
      </c>
    </row>
    <row r="180" spans="10:11">
      <c r="J180" s="1">
        <v>178</v>
      </c>
      <c r="K180" s="1">
        <f t="shared" si="2"/>
        <v>5.5034655519067291E-10</v>
      </c>
    </row>
    <row r="181" spans="10:11">
      <c r="J181" s="1">
        <v>179</v>
      </c>
      <c r="K181" s="1">
        <f t="shared" si="2"/>
        <v>5.5406244376894905E-10</v>
      </c>
    </row>
    <row r="182" spans="10:11">
      <c r="J182" s="1">
        <v>180</v>
      </c>
      <c r="K182" s="1">
        <f t="shared" si="2"/>
        <v>5.5778545820075234E-10</v>
      </c>
    </row>
    <row r="183" spans="10:11">
      <c r="J183" s="1">
        <v>181</v>
      </c>
      <c r="K183" s="1">
        <f t="shared" si="2"/>
        <v>5.6151559848608245E-10</v>
      </c>
    </row>
    <row r="184" spans="10:11">
      <c r="J184" s="1">
        <v>182</v>
      </c>
      <c r="K184" s="1">
        <f t="shared" si="2"/>
        <v>5.6525286462493969E-10</v>
      </c>
    </row>
    <row r="185" spans="10:11">
      <c r="J185" s="1">
        <v>183</v>
      </c>
      <c r="K185" s="1">
        <f t="shared" si="2"/>
        <v>5.6899725661732398E-10</v>
      </c>
    </row>
    <row r="186" spans="10:11">
      <c r="J186" s="1">
        <v>184</v>
      </c>
      <c r="K186" s="1">
        <f t="shared" si="2"/>
        <v>5.727487744632353E-10</v>
      </c>
    </row>
    <row r="187" spans="10:11">
      <c r="J187" s="1">
        <v>185</v>
      </c>
      <c r="K187" s="1">
        <f t="shared" si="2"/>
        <v>5.7650741816267376E-10</v>
      </c>
    </row>
    <row r="188" spans="10:11">
      <c r="J188" s="1">
        <v>186</v>
      </c>
      <c r="K188" s="1">
        <f t="shared" si="2"/>
        <v>5.8027318771563925E-10</v>
      </c>
    </row>
    <row r="189" spans="10:11">
      <c r="J189" s="1">
        <v>187</v>
      </c>
      <c r="K189" s="1">
        <f t="shared" si="2"/>
        <v>5.8404608312213168E-10</v>
      </c>
    </row>
    <row r="190" spans="10:11">
      <c r="J190" s="1">
        <v>188</v>
      </c>
      <c r="K190" s="1">
        <f t="shared" si="2"/>
        <v>5.8782610438215134E-10</v>
      </c>
    </row>
    <row r="191" spans="10:11">
      <c r="J191" s="1">
        <v>189</v>
      </c>
      <c r="K191" s="1">
        <f t="shared" si="2"/>
        <v>5.9161325149569794E-10</v>
      </c>
    </row>
    <row r="192" spans="10:11">
      <c r="J192" s="1">
        <v>190</v>
      </c>
      <c r="K192" s="1">
        <f t="shared" si="2"/>
        <v>5.9540752446277147E-10</v>
      </c>
    </row>
    <row r="193" spans="10:11">
      <c r="J193" s="1">
        <v>191</v>
      </c>
      <c r="K193" s="1">
        <f t="shared" si="2"/>
        <v>5.9920892328337225E-10</v>
      </c>
    </row>
    <row r="194" spans="10:11">
      <c r="J194" s="1">
        <v>192</v>
      </c>
      <c r="K194" s="1">
        <f t="shared" si="2"/>
        <v>6.0301744795749995E-10</v>
      </c>
    </row>
    <row r="195" spans="10:11">
      <c r="J195" s="1">
        <v>193</v>
      </c>
      <c r="K195" s="1">
        <f t="shared" ref="K195:K258" si="3">B$5*B$6*SIN(B$1)*(B$7*(J195+1)+B$8*J195*(J195+1)/2000)/(B$3*1000*B$2)</f>
        <v>6.0683309848515469E-10</v>
      </c>
    </row>
    <row r="196" spans="10:11">
      <c r="J196" s="1">
        <v>194</v>
      </c>
      <c r="K196" s="1">
        <f t="shared" si="3"/>
        <v>6.1065587486633668E-10</v>
      </c>
    </row>
    <row r="197" spans="10:11">
      <c r="J197" s="1">
        <v>195</v>
      </c>
      <c r="K197" s="1">
        <f t="shared" si="3"/>
        <v>6.1448577710104549E-10</v>
      </c>
    </row>
    <row r="198" spans="10:11">
      <c r="J198" s="1">
        <v>196</v>
      </c>
      <c r="K198" s="1">
        <f t="shared" si="3"/>
        <v>6.1832280518928154E-10</v>
      </c>
    </row>
    <row r="199" spans="10:11">
      <c r="J199" s="1">
        <v>197</v>
      </c>
      <c r="K199" s="1">
        <f t="shared" si="3"/>
        <v>6.2216695913104443E-10</v>
      </c>
    </row>
    <row r="200" spans="10:11">
      <c r="J200" s="1">
        <v>198</v>
      </c>
      <c r="K200" s="1">
        <f t="shared" si="3"/>
        <v>6.2601823892633445E-10</v>
      </c>
    </row>
    <row r="201" spans="10:11">
      <c r="J201" s="1">
        <v>199</v>
      </c>
      <c r="K201" s="1">
        <f t="shared" si="3"/>
        <v>6.2987664457515161E-10</v>
      </c>
    </row>
    <row r="202" spans="10:11">
      <c r="J202" s="1">
        <v>200</v>
      </c>
      <c r="K202" s="1">
        <f t="shared" si="3"/>
        <v>6.337421760774957E-10</v>
      </c>
    </row>
    <row r="203" spans="10:11">
      <c r="J203" s="1">
        <v>201</v>
      </c>
      <c r="K203" s="1">
        <f t="shared" si="3"/>
        <v>6.3761483343336693E-10</v>
      </c>
    </row>
    <row r="204" spans="10:11">
      <c r="J204" s="1">
        <v>202</v>
      </c>
      <c r="K204" s="1">
        <f t="shared" si="3"/>
        <v>6.4149461664276519E-10</v>
      </c>
    </row>
    <row r="205" spans="10:11">
      <c r="J205" s="1">
        <v>203</v>
      </c>
      <c r="K205" s="1">
        <f t="shared" si="3"/>
        <v>6.453815257056905E-10</v>
      </c>
    </row>
    <row r="206" spans="10:11">
      <c r="J206" s="1">
        <v>204</v>
      </c>
      <c r="K206" s="1">
        <f t="shared" si="3"/>
        <v>6.4927556062214273E-10</v>
      </c>
    </row>
    <row r="207" spans="10:11">
      <c r="J207" s="1">
        <v>205</v>
      </c>
      <c r="K207" s="1">
        <f t="shared" si="3"/>
        <v>6.531767213921221E-10</v>
      </c>
    </row>
    <row r="208" spans="10:11">
      <c r="J208" s="1">
        <v>206</v>
      </c>
      <c r="K208" s="1">
        <f t="shared" si="3"/>
        <v>6.5708500801562851E-10</v>
      </c>
    </row>
    <row r="209" spans="10:11">
      <c r="J209" s="1">
        <v>207</v>
      </c>
      <c r="K209" s="1">
        <f t="shared" si="3"/>
        <v>6.6100042049266205E-10</v>
      </c>
    </row>
    <row r="210" spans="10:11">
      <c r="J210" s="1">
        <v>208</v>
      </c>
      <c r="K210" s="1">
        <f t="shared" si="3"/>
        <v>6.6492295882322264E-10</v>
      </c>
    </row>
    <row r="211" spans="10:11">
      <c r="J211" s="1">
        <v>209</v>
      </c>
      <c r="K211" s="1">
        <f t="shared" si="3"/>
        <v>6.6885262300731015E-10</v>
      </c>
    </row>
    <row r="212" spans="10:11">
      <c r="J212" s="1">
        <v>210</v>
      </c>
      <c r="K212" s="1">
        <f t="shared" si="3"/>
        <v>6.727894130449248E-10</v>
      </c>
    </row>
    <row r="213" spans="10:11">
      <c r="J213" s="1">
        <v>211</v>
      </c>
      <c r="K213" s="1">
        <f t="shared" si="3"/>
        <v>6.7673332893606638E-10</v>
      </c>
    </row>
    <row r="214" spans="10:11">
      <c r="J214" s="1">
        <v>212</v>
      </c>
      <c r="K214" s="1">
        <f t="shared" si="3"/>
        <v>6.8068437068073511E-10</v>
      </c>
    </row>
    <row r="215" spans="10:11">
      <c r="J215" s="1">
        <v>213</v>
      </c>
      <c r="K215" s="1">
        <f t="shared" si="3"/>
        <v>6.8464253827893087E-10</v>
      </c>
    </row>
    <row r="216" spans="10:11">
      <c r="J216" s="1">
        <v>214</v>
      </c>
      <c r="K216" s="1">
        <f t="shared" si="3"/>
        <v>6.8860783173065366E-10</v>
      </c>
    </row>
    <row r="217" spans="10:11">
      <c r="J217" s="1">
        <v>215</v>
      </c>
      <c r="K217" s="1">
        <f t="shared" si="3"/>
        <v>6.9258025103590359E-10</v>
      </c>
    </row>
    <row r="218" spans="10:11">
      <c r="J218" s="1">
        <v>216</v>
      </c>
      <c r="K218" s="1">
        <f t="shared" si="3"/>
        <v>6.9655979619468045E-10</v>
      </c>
    </row>
    <row r="219" spans="10:11">
      <c r="J219" s="1">
        <v>217</v>
      </c>
      <c r="K219" s="1">
        <f t="shared" si="3"/>
        <v>7.0054646720698435E-10</v>
      </c>
    </row>
    <row r="220" spans="10:11">
      <c r="J220" s="1">
        <v>218</v>
      </c>
      <c r="K220" s="1">
        <f t="shared" si="3"/>
        <v>7.0454026407281539E-10</v>
      </c>
    </row>
    <row r="221" spans="10:11">
      <c r="J221" s="1">
        <v>219</v>
      </c>
      <c r="K221" s="1">
        <f t="shared" si="3"/>
        <v>7.0854118679217347E-10</v>
      </c>
    </row>
    <row r="222" spans="10:11">
      <c r="J222" s="1">
        <v>220</v>
      </c>
      <c r="K222" s="1">
        <f t="shared" si="3"/>
        <v>7.1254923536505857E-10</v>
      </c>
    </row>
    <row r="223" spans="10:11">
      <c r="J223" s="1">
        <v>221</v>
      </c>
      <c r="K223" s="1">
        <f t="shared" si="3"/>
        <v>7.1656440979147072E-10</v>
      </c>
    </row>
    <row r="224" spans="10:11">
      <c r="J224" s="1">
        <v>222</v>
      </c>
      <c r="K224" s="1">
        <f t="shared" si="3"/>
        <v>7.2058671007141E-10</v>
      </c>
    </row>
    <row r="225" spans="10:11">
      <c r="J225" s="1">
        <v>223</v>
      </c>
      <c r="K225" s="1">
        <f t="shared" si="3"/>
        <v>7.2461613620487622E-10</v>
      </c>
    </row>
    <row r="226" spans="10:11">
      <c r="J226" s="1">
        <v>224</v>
      </c>
      <c r="K226" s="1">
        <f t="shared" si="3"/>
        <v>7.2865268819186957E-10</v>
      </c>
    </row>
    <row r="227" spans="10:11">
      <c r="J227" s="1">
        <v>225</v>
      </c>
      <c r="K227" s="1">
        <f t="shared" si="3"/>
        <v>7.3269636603238986E-10</v>
      </c>
    </row>
    <row r="228" spans="10:11">
      <c r="J228" s="1">
        <v>226</v>
      </c>
      <c r="K228" s="1">
        <f t="shared" si="3"/>
        <v>7.3674716972643718E-10</v>
      </c>
    </row>
    <row r="229" spans="10:11">
      <c r="J229" s="1">
        <v>227</v>
      </c>
      <c r="K229" s="1">
        <f t="shared" si="3"/>
        <v>7.4080509927401164E-10</v>
      </c>
    </row>
    <row r="230" spans="10:11">
      <c r="J230" s="1">
        <v>228</v>
      </c>
      <c r="K230" s="1">
        <f t="shared" si="3"/>
        <v>7.4487015467511324E-10</v>
      </c>
    </row>
    <row r="231" spans="10:11">
      <c r="J231" s="1">
        <v>229</v>
      </c>
      <c r="K231" s="1">
        <f t="shared" si="3"/>
        <v>7.4894233592974177E-10</v>
      </c>
    </row>
    <row r="232" spans="10:11">
      <c r="J232" s="1">
        <v>230</v>
      </c>
      <c r="K232" s="1">
        <f t="shared" si="3"/>
        <v>7.5302164303789723E-10</v>
      </c>
    </row>
    <row r="233" spans="10:11">
      <c r="J233" s="1">
        <v>231</v>
      </c>
      <c r="K233" s="1">
        <f t="shared" si="3"/>
        <v>7.5710807599957983E-10</v>
      </c>
    </row>
    <row r="234" spans="10:11">
      <c r="J234" s="1">
        <v>232</v>
      </c>
      <c r="K234" s="1">
        <f t="shared" si="3"/>
        <v>7.6120163481478957E-10</v>
      </c>
    </row>
    <row r="235" spans="10:11">
      <c r="J235" s="1">
        <v>233</v>
      </c>
      <c r="K235" s="1">
        <f t="shared" si="3"/>
        <v>7.6530231948352645E-10</v>
      </c>
    </row>
    <row r="236" spans="10:11">
      <c r="J236" s="1">
        <v>234</v>
      </c>
      <c r="K236" s="1">
        <f t="shared" si="3"/>
        <v>7.6941013000579026E-10</v>
      </c>
    </row>
    <row r="237" spans="10:11">
      <c r="J237" s="1">
        <v>235</v>
      </c>
      <c r="K237" s="1">
        <f t="shared" si="3"/>
        <v>7.73525066381581E-10</v>
      </c>
    </row>
    <row r="238" spans="10:11">
      <c r="J238" s="1">
        <v>236</v>
      </c>
      <c r="K238" s="1">
        <f t="shared" si="3"/>
        <v>7.7764712861089878E-10</v>
      </c>
    </row>
    <row r="239" spans="10:11">
      <c r="J239" s="1">
        <v>237</v>
      </c>
      <c r="K239" s="1">
        <f t="shared" si="3"/>
        <v>7.817763166937438E-10</v>
      </c>
    </row>
    <row r="240" spans="10:11">
      <c r="J240" s="1">
        <v>238</v>
      </c>
      <c r="K240" s="1">
        <f t="shared" si="3"/>
        <v>7.8591263063011575E-10</v>
      </c>
    </row>
    <row r="241" spans="10:11">
      <c r="J241" s="1">
        <v>239</v>
      </c>
      <c r="K241" s="1">
        <f t="shared" si="3"/>
        <v>7.9005607042001494E-10</v>
      </c>
    </row>
    <row r="242" spans="10:11">
      <c r="J242" s="1">
        <v>240</v>
      </c>
      <c r="K242" s="1">
        <f t="shared" si="3"/>
        <v>7.9420663606344097E-10</v>
      </c>
    </row>
    <row r="243" spans="10:11">
      <c r="J243" s="1">
        <v>241</v>
      </c>
      <c r="K243" s="1">
        <f t="shared" si="3"/>
        <v>7.9836432756039392E-10</v>
      </c>
    </row>
    <row r="244" spans="10:11">
      <c r="J244" s="1">
        <v>242</v>
      </c>
      <c r="K244" s="1">
        <f t="shared" si="3"/>
        <v>8.0252914491087412E-10</v>
      </c>
    </row>
    <row r="245" spans="10:11">
      <c r="J245" s="1">
        <v>243</v>
      </c>
      <c r="K245" s="1">
        <f t="shared" si="3"/>
        <v>8.0670108811488145E-10</v>
      </c>
    </row>
    <row r="246" spans="10:11">
      <c r="J246" s="1">
        <v>244</v>
      </c>
      <c r="K246" s="1">
        <f t="shared" si="3"/>
        <v>8.1088015717241582E-10</v>
      </c>
    </row>
    <row r="247" spans="10:11">
      <c r="J247" s="1">
        <v>245</v>
      </c>
      <c r="K247" s="1">
        <f t="shared" si="3"/>
        <v>8.1506635208347702E-10</v>
      </c>
    </row>
    <row r="248" spans="10:11">
      <c r="J248" s="1">
        <v>246</v>
      </c>
      <c r="K248" s="1">
        <f t="shared" si="3"/>
        <v>8.1925967284806546E-10</v>
      </c>
    </row>
    <row r="249" spans="10:11">
      <c r="J249" s="1">
        <v>247</v>
      </c>
      <c r="K249" s="1">
        <f t="shared" si="3"/>
        <v>8.2346011946618073E-10</v>
      </c>
    </row>
    <row r="250" spans="10:11">
      <c r="J250" s="1">
        <v>248</v>
      </c>
      <c r="K250" s="1">
        <f t="shared" si="3"/>
        <v>8.2766769193782335E-10</v>
      </c>
    </row>
    <row r="251" spans="10:11">
      <c r="J251" s="1">
        <v>249</v>
      </c>
      <c r="K251" s="1">
        <f t="shared" si="3"/>
        <v>8.3188239026299279E-10</v>
      </c>
    </row>
    <row r="252" spans="10:11">
      <c r="J252" s="1">
        <v>250</v>
      </c>
      <c r="K252" s="1">
        <f t="shared" si="3"/>
        <v>8.3610421444168948E-10</v>
      </c>
    </row>
    <row r="253" spans="10:11">
      <c r="J253" s="1">
        <v>251</v>
      </c>
      <c r="K253" s="1">
        <f t="shared" si="3"/>
        <v>8.4033316447391289E-10</v>
      </c>
    </row>
    <row r="254" spans="10:11">
      <c r="J254" s="1">
        <v>252</v>
      </c>
      <c r="K254" s="1">
        <f t="shared" si="3"/>
        <v>8.4456924035966365E-10</v>
      </c>
    </row>
    <row r="255" spans="10:11">
      <c r="J255" s="1">
        <v>253</v>
      </c>
      <c r="K255" s="1">
        <f t="shared" si="3"/>
        <v>8.4881244209894134E-10</v>
      </c>
    </row>
    <row r="256" spans="10:11">
      <c r="J256" s="1">
        <v>254</v>
      </c>
      <c r="K256" s="1">
        <f t="shared" si="3"/>
        <v>8.5306276969174596E-10</v>
      </c>
    </row>
    <row r="257" spans="10:11">
      <c r="J257" s="1">
        <v>255</v>
      </c>
      <c r="K257" s="1">
        <f t="shared" si="3"/>
        <v>8.5732022313807782E-10</v>
      </c>
    </row>
    <row r="258" spans="10:11">
      <c r="J258" s="1">
        <v>256</v>
      </c>
      <c r="K258" s="1">
        <f t="shared" si="3"/>
        <v>8.6158480243793682E-10</v>
      </c>
    </row>
    <row r="259" spans="10:11">
      <c r="J259" s="1">
        <v>257</v>
      </c>
      <c r="K259" s="1">
        <f t="shared" ref="K259:K322" si="4">B$5*B$6*SIN(B$1)*(B$7*(J259+1)+B$8*J259*(J259+1)/2000)/(B$3*1000*B$2)</f>
        <v>8.6585650759132265E-10</v>
      </c>
    </row>
    <row r="260" spans="10:11">
      <c r="J260" s="1">
        <v>258</v>
      </c>
      <c r="K260" s="1">
        <f t="shared" si="4"/>
        <v>8.7013533859823562E-10</v>
      </c>
    </row>
    <row r="261" spans="10:11">
      <c r="J261" s="1">
        <v>259</v>
      </c>
      <c r="K261" s="1">
        <f t="shared" si="4"/>
        <v>8.7442129545867552E-10</v>
      </c>
    </row>
    <row r="262" spans="10:11">
      <c r="J262" s="1">
        <v>260</v>
      </c>
      <c r="K262" s="1">
        <f t="shared" si="4"/>
        <v>8.7871437817264256E-10</v>
      </c>
    </row>
    <row r="263" spans="10:11">
      <c r="J263" s="1">
        <v>261</v>
      </c>
      <c r="K263" s="1">
        <f t="shared" si="4"/>
        <v>8.8301458674013674E-10</v>
      </c>
    </row>
    <row r="264" spans="10:11">
      <c r="J264" s="1">
        <v>262</v>
      </c>
      <c r="K264" s="1">
        <f t="shared" si="4"/>
        <v>8.8732192116115775E-10</v>
      </c>
    </row>
    <row r="265" spans="10:11">
      <c r="J265" s="1">
        <v>263</v>
      </c>
      <c r="K265" s="1">
        <f t="shared" si="4"/>
        <v>8.91636381435706E-10</v>
      </c>
    </row>
    <row r="266" spans="10:11">
      <c r="J266" s="1">
        <v>264</v>
      </c>
      <c r="K266" s="1">
        <f t="shared" si="4"/>
        <v>8.9595796756378138E-10</v>
      </c>
    </row>
    <row r="267" spans="10:11">
      <c r="J267" s="1">
        <v>265</v>
      </c>
      <c r="K267" s="1">
        <f t="shared" si="4"/>
        <v>9.002866795453836E-10</v>
      </c>
    </row>
    <row r="268" spans="10:11">
      <c r="J268" s="1">
        <v>266</v>
      </c>
      <c r="K268" s="1">
        <f t="shared" si="4"/>
        <v>9.0462251738051285E-10</v>
      </c>
    </row>
    <row r="269" spans="10:11">
      <c r="J269" s="1">
        <v>267</v>
      </c>
      <c r="K269" s="1">
        <f t="shared" si="4"/>
        <v>9.0896548106916935E-10</v>
      </c>
    </row>
    <row r="270" spans="10:11">
      <c r="J270" s="1">
        <v>268</v>
      </c>
      <c r="K270" s="1">
        <f t="shared" si="4"/>
        <v>9.1331557061135287E-10</v>
      </c>
    </row>
    <row r="271" spans="10:11">
      <c r="J271" s="1">
        <v>269</v>
      </c>
      <c r="K271" s="1">
        <f t="shared" si="4"/>
        <v>9.1767278600706323E-10</v>
      </c>
    </row>
    <row r="272" spans="10:11">
      <c r="J272" s="1">
        <v>270</v>
      </c>
      <c r="K272" s="1">
        <f t="shared" si="4"/>
        <v>9.2203712725630083E-10</v>
      </c>
    </row>
    <row r="273" spans="10:11">
      <c r="J273" s="1">
        <v>271</v>
      </c>
      <c r="K273" s="1">
        <f t="shared" si="4"/>
        <v>9.2640859435906547E-10</v>
      </c>
    </row>
    <row r="274" spans="10:11">
      <c r="J274" s="1">
        <v>272</v>
      </c>
      <c r="K274" s="1">
        <f t="shared" si="4"/>
        <v>9.3078718731535703E-10</v>
      </c>
    </row>
    <row r="275" spans="10:11">
      <c r="J275" s="1">
        <v>273</v>
      </c>
      <c r="K275" s="1">
        <f t="shared" si="4"/>
        <v>9.3517290612517553E-10</v>
      </c>
    </row>
    <row r="276" spans="10:11">
      <c r="J276" s="1">
        <v>274</v>
      </c>
      <c r="K276" s="1">
        <f t="shared" si="4"/>
        <v>9.3956575078852127E-10</v>
      </c>
    </row>
    <row r="277" spans="10:11">
      <c r="J277" s="1">
        <v>275</v>
      </c>
      <c r="K277" s="1">
        <f t="shared" si="4"/>
        <v>9.4396572130539415E-10</v>
      </c>
    </row>
    <row r="278" spans="10:11">
      <c r="J278" s="1">
        <v>276</v>
      </c>
      <c r="K278" s="1">
        <f t="shared" si="4"/>
        <v>9.4837281767579397E-10</v>
      </c>
    </row>
    <row r="279" spans="10:11">
      <c r="J279" s="1">
        <v>277</v>
      </c>
      <c r="K279" s="1">
        <f t="shared" si="4"/>
        <v>9.5278703989972092E-10</v>
      </c>
    </row>
    <row r="280" spans="10:11">
      <c r="J280" s="1">
        <v>278</v>
      </c>
      <c r="K280" s="1">
        <f t="shared" si="4"/>
        <v>9.572083879771748E-10</v>
      </c>
    </row>
    <row r="281" spans="10:11">
      <c r="J281" s="1">
        <v>279</v>
      </c>
      <c r="K281" s="1">
        <f t="shared" si="4"/>
        <v>9.6163686190815561E-10</v>
      </c>
    </row>
    <row r="282" spans="10:11">
      <c r="J282" s="1">
        <v>280</v>
      </c>
      <c r="K282" s="1">
        <f t="shared" si="4"/>
        <v>9.6607246169266377E-10</v>
      </c>
    </row>
    <row r="283" spans="10:11">
      <c r="J283" s="1">
        <v>281</v>
      </c>
      <c r="K283" s="1">
        <f t="shared" si="4"/>
        <v>9.7051518733069887E-10</v>
      </c>
    </row>
    <row r="284" spans="10:11">
      <c r="J284" s="1">
        <v>282</v>
      </c>
      <c r="K284" s="1">
        <f t="shared" si="4"/>
        <v>9.7496503882226089E-10</v>
      </c>
    </row>
    <row r="285" spans="10:11">
      <c r="J285" s="1">
        <v>283</v>
      </c>
      <c r="K285" s="1">
        <f t="shared" si="4"/>
        <v>9.7942201616735026E-10</v>
      </c>
    </row>
    <row r="286" spans="10:11">
      <c r="J286" s="1">
        <v>284</v>
      </c>
      <c r="K286" s="1">
        <f t="shared" si="4"/>
        <v>9.8388611936596636E-10</v>
      </c>
    </row>
    <row r="287" spans="10:11">
      <c r="J287" s="1">
        <v>285</v>
      </c>
      <c r="K287" s="1">
        <f t="shared" si="4"/>
        <v>9.8835734841810959E-10</v>
      </c>
    </row>
    <row r="288" spans="10:11">
      <c r="J288" s="1">
        <v>286</v>
      </c>
      <c r="K288" s="1">
        <f t="shared" si="4"/>
        <v>9.9283570332377996E-10</v>
      </c>
    </row>
    <row r="289" spans="10:11">
      <c r="J289" s="1">
        <v>287</v>
      </c>
      <c r="K289" s="1">
        <f t="shared" si="4"/>
        <v>9.9732118408297726E-10</v>
      </c>
    </row>
    <row r="290" spans="10:11">
      <c r="J290" s="1">
        <v>288</v>
      </c>
      <c r="K290" s="1">
        <f t="shared" si="4"/>
        <v>1.0018137906957019E-9</v>
      </c>
    </row>
    <row r="291" spans="10:11">
      <c r="J291" s="1">
        <v>289</v>
      </c>
      <c r="K291" s="1">
        <f t="shared" si="4"/>
        <v>1.0063135231619533E-9</v>
      </c>
    </row>
    <row r="292" spans="10:11">
      <c r="J292" s="1">
        <v>290</v>
      </c>
      <c r="K292" s="1">
        <f t="shared" si="4"/>
        <v>1.0108203814817316E-9</v>
      </c>
    </row>
    <row r="293" spans="10:11">
      <c r="J293" s="1">
        <v>291</v>
      </c>
      <c r="K293" s="1">
        <f t="shared" si="4"/>
        <v>1.0153343656550372E-9</v>
      </c>
    </row>
    <row r="294" spans="10:11">
      <c r="J294" s="1">
        <v>292</v>
      </c>
      <c r="K294" s="1">
        <f t="shared" si="4"/>
        <v>1.0198554756818696E-9</v>
      </c>
    </row>
    <row r="295" spans="10:11">
      <c r="J295" s="1">
        <v>293</v>
      </c>
      <c r="K295" s="1">
        <f t="shared" si="4"/>
        <v>1.0243837115622296E-9</v>
      </c>
    </row>
    <row r="296" spans="10:11">
      <c r="J296" s="1">
        <v>294</v>
      </c>
      <c r="K296" s="1">
        <f t="shared" si="4"/>
        <v>1.028919073296116E-9</v>
      </c>
    </row>
    <row r="297" spans="10:11">
      <c r="J297" s="1">
        <v>295</v>
      </c>
      <c r="K297" s="1">
        <f t="shared" si="4"/>
        <v>1.03346156088353E-9</v>
      </c>
    </row>
    <row r="298" spans="10:11">
      <c r="J298" s="1">
        <v>296</v>
      </c>
      <c r="K298" s="1">
        <f t="shared" si="4"/>
        <v>1.0380111743244707E-9</v>
      </c>
    </row>
    <row r="299" spans="10:11">
      <c r="J299" s="1">
        <v>297</v>
      </c>
      <c r="K299" s="1">
        <f t="shared" si="4"/>
        <v>1.0425679136189384E-9</v>
      </c>
    </row>
    <row r="300" spans="10:11">
      <c r="J300" s="1">
        <v>298</v>
      </c>
      <c r="K300" s="1">
        <f t="shared" si="4"/>
        <v>1.0471317787669332E-9</v>
      </c>
    </row>
    <row r="301" spans="10:11">
      <c r="J301" s="1">
        <v>299</v>
      </c>
      <c r="K301" s="1">
        <f t="shared" si="4"/>
        <v>1.0517027697684553E-9</v>
      </c>
    </row>
    <row r="302" spans="10:11">
      <c r="J302" s="1">
        <v>300</v>
      </c>
      <c r="K302" s="1">
        <f t="shared" si="4"/>
        <v>1.0562808866235044E-9</v>
      </c>
    </row>
    <row r="303" spans="10:11">
      <c r="J303" s="1">
        <v>301</v>
      </c>
      <c r="K303" s="1">
        <f t="shared" si="4"/>
        <v>1.0608661293320804E-9</v>
      </c>
    </row>
    <row r="304" spans="10:11">
      <c r="J304" s="1">
        <v>302</v>
      </c>
      <c r="K304" s="1">
        <f t="shared" si="4"/>
        <v>1.0654584978941835E-9</v>
      </c>
    </row>
    <row r="305" spans="10:11">
      <c r="J305" s="1">
        <v>303</v>
      </c>
      <c r="K305" s="1">
        <f t="shared" si="4"/>
        <v>1.0700579923098134E-9</v>
      </c>
    </row>
    <row r="306" spans="10:11">
      <c r="J306" s="1">
        <v>304</v>
      </c>
      <c r="K306" s="1">
        <f t="shared" si="4"/>
        <v>1.0746646125789706E-9</v>
      </c>
    </row>
    <row r="307" spans="10:11">
      <c r="J307" s="1">
        <v>305</v>
      </c>
      <c r="K307" s="1">
        <f t="shared" si="4"/>
        <v>1.0792783587016552E-9</v>
      </c>
    </row>
    <row r="308" spans="10:11">
      <c r="J308" s="1">
        <v>306</v>
      </c>
      <c r="K308" s="1">
        <f t="shared" si="4"/>
        <v>1.0838992306778665E-9</v>
      </c>
    </row>
    <row r="309" spans="10:11">
      <c r="J309" s="1">
        <v>307</v>
      </c>
      <c r="K309" s="1">
        <f t="shared" si="4"/>
        <v>1.0885272285076047E-9</v>
      </c>
    </row>
    <row r="310" spans="10:11">
      <c r="J310" s="1">
        <v>308</v>
      </c>
      <c r="K310" s="1">
        <f t="shared" si="4"/>
        <v>1.0931623521908701E-9</v>
      </c>
    </row>
    <row r="311" spans="10:11">
      <c r="J311" s="1">
        <v>309</v>
      </c>
      <c r="K311" s="1">
        <f t="shared" si="4"/>
        <v>1.0978046017276623E-9</v>
      </c>
    </row>
    <row r="312" spans="10:11">
      <c r="J312" s="1">
        <v>310</v>
      </c>
      <c r="K312" s="1">
        <f t="shared" si="4"/>
        <v>1.102453977117982E-9</v>
      </c>
    </row>
    <row r="313" spans="10:11">
      <c r="J313" s="1">
        <v>311</v>
      </c>
      <c r="K313" s="1">
        <f t="shared" si="4"/>
        <v>1.1071104783618283E-9</v>
      </c>
    </row>
    <row r="314" spans="10:11">
      <c r="J314" s="1">
        <v>312</v>
      </c>
      <c r="K314" s="1">
        <f t="shared" si="4"/>
        <v>1.1117741054592018E-9</v>
      </c>
    </row>
    <row r="315" spans="10:11">
      <c r="J315" s="1">
        <v>313</v>
      </c>
      <c r="K315" s="1">
        <f t="shared" si="4"/>
        <v>1.1164448584101025E-9</v>
      </c>
    </row>
    <row r="316" spans="10:11">
      <c r="J316" s="1">
        <v>314</v>
      </c>
      <c r="K316" s="1">
        <f t="shared" si="4"/>
        <v>1.1211227372145302E-9</v>
      </c>
    </row>
    <row r="317" spans="10:11">
      <c r="J317" s="1">
        <v>315</v>
      </c>
      <c r="K317" s="1">
        <f t="shared" si="4"/>
        <v>1.125807741872485E-9</v>
      </c>
    </row>
    <row r="318" spans="10:11">
      <c r="J318" s="1">
        <v>316</v>
      </c>
      <c r="K318" s="1">
        <f t="shared" si="4"/>
        <v>1.1304998723839668E-9</v>
      </c>
    </row>
    <row r="319" spans="10:11">
      <c r="J319" s="1">
        <v>317</v>
      </c>
      <c r="K319" s="1">
        <f t="shared" si="4"/>
        <v>1.1351991287489756E-9</v>
      </c>
    </row>
    <row r="320" spans="10:11">
      <c r="J320" s="1">
        <v>318</v>
      </c>
      <c r="K320" s="1">
        <f t="shared" si="4"/>
        <v>1.1399055109675115E-9</v>
      </c>
    </row>
    <row r="321" spans="10:11">
      <c r="J321" s="1">
        <v>319</v>
      </c>
      <c r="K321" s="1">
        <f t="shared" si="4"/>
        <v>1.1446190190395746E-9</v>
      </c>
    </row>
    <row r="322" spans="10:11">
      <c r="J322" s="1">
        <v>320</v>
      </c>
      <c r="K322" s="1">
        <f t="shared" si="4"/>
        <v>1.1493396529651643E-9</v>
      </c>
    </row>
    <row r="323" spans="10:11">
      <c r="J323" s="1">
        <v>321</v>
      </c>
      <c r="K323" s="1">
        <f t="shared" ref="K323:K386" si="5">B$5*B$6*SIN(B$1)*(B$7*(J323+1)+B$8*J323*(J323+1)/2000)/(B$3*1000*B$2)</f>
        <v>1.1540674127442813E-9</v>
      </c>
    </row>
    <row r="324" spans="10:11">
      <c r="J324" s="1">
        <v>322</v>
      </c>
      <c r="K324" s="1">
        <f t="shared" si="5"/>
        <v>1.1588022983769255E-9</v>
      </c>
    </row>
    <row r="325" spans="10:11">
      <c r="J325" s="1">
        <v>323</v>
      </c>
      <c r="K325" s="1">
        <f t="shared" si="5"/>
        <v>1.1635443098630967E-9</v>
      </c>
    </row>
    <row r="326" spans="10:11">
      <c r="J326" s="1">
        <v>324</v>
      </c>
      <c r="K326" s="1">
        <f t="shared" si="5"/>
        <v>1.1682934472027944E-9</v>
      </c>
    </row>
    <row r="327" spans="10:11">
      <c r="J327" s="1">
        <v>325</v>
      </c>
      <c r="K327" s="1">
        <f t="shared" si="5"/>
        <v>1.1730497103960199E-9</v>
      </c>
    </row>
    <row r="328" spans="10:11">
      <c r="J328" s="1">
        <v>326</v>
      </c>
      <c r="K328" s="1">
        <f t="shared" si="5"/>
        <v>1.1778130994427721E-9</v>
      </c>
    </row>
    <row r="329" spans="10:11">
      <c r="J329" s="1">
        <v>327</v>
      </c>
      <c r="K329" s="1">
        <f t="shared" si="5"/>
        <v>1.1825836143430512E-9</v>
      </c>
    </row>
    <row r="330" spans="10:11">
      <c r="J330" s="1">
        <v>328</v>
      </c>
      <c r="K330" s="1">
        <f t="shared" si="5"/>
        <v>1.1873612550968577E-9</v>
      </c>
    </row>
    <row r="331" spans="10:11">
      <c r="J331" s="1">
        <v>329</v>
      </c>
      <c r="K331" s="1">
        <f t="shared" si="5"/>
        <v>1.1921460217041909E-9</v>
      </c>
    </row>
    <row r="332" spans="10:11">
      <c r="J332" s="1">
        <v>330</v>
      </c>
      <c r="K332" s="1">
        <f t="shared" si="5"/>
        <v>1.1969379141650515E-9</v>
      </c>
    </row>
    <row r="333" spans="10:11">
      <c r="J333" s="1">
        <v>331</v>
      </c>
      <c r="K333" s="1">
        <f t="shared" si="5"/>
        <v>1.2017369324794389E-9</v>
      </c>
    </row>
    <row r="334" spans="10:11">
      <c r="J334" s="1">
        <v>332</v>
      </c>
      <c r="K334" s="1">
        <f t="shared" si="5"/>
        <v>1.2065430766473536E-9</v>
      </c>
    </row>
    <row r="335" spans="10:11">
      <c r="J335" s="1">
        <v>333</v>
      </c>
      <c r="K335" s="1">
        <f t="shared" si="5"/>
        <v>1.2113563466687951E-9</v>
      </c>
    </row>
    <row r="336" spans="10:11">
      <c r="J336" s="1">
        <v>334</v>
      </c>
      <c r="K336" s="1">
        <f t="shared" si="5"/>
        <v>1.216176742543764E-9</v>
      </c>
    </row>
    <row r="337" spans="10:11">
      <c r="J337" s="1">
        <v>335</v>
      </c>
      <c r="K337" s="1">
        <f t="shared" si="5"/>
        <v>1.2210042642722596E-9</v>
      </c>
    </row>
    <row r="338" spans="10:11">
      <c r="J338" s="1">
        <v>336</v>
      </c>
      <c r="K338" s="1">
        <f t="shared" si="5"/>
        <v>1.2258389118542822E-9</v>
      </c>
    </row>
    <row r="339" spans="10:11">
      <c r="J339" s="1">
        <v>337</v>
      </c>
      <c r="K339" s="1">
        <f t="shared" si="5"/>
        <v>1.2306806852898319E-9</v>
      </c>
    </row>
    <row r="340" spans="10:11">
      <c r="J340" s="1">
        <v>338</v>
      </c>
      <c r="K340" s="1">
        <f t="shared" si="5"/>
        <v>1.2355295845789087E-9</v>
      </c>
    </row>
    <row r="341" spans="10:11">
      <c r="J341" s="1">
        <v>339</v>
      </c>
      <c r="K341" s="1">
        <f t="shared" si="5"/>
        <v>1.2403856097215129E-9</v>
      </c>
    </row>
    <row r="342" spans="10:11">
      <c r="J342" s="1">
        <v>340</v>
      </c>
      <c r="K342" s="1">
        <f t="shared" si="5"/>
        <v>1.2452487607176438E-9</v>
      </c>
    </row>
    <row r="343" spans="10:11">
      <c r="J343" s="1">
        <v>341</v>
      </c>
      <c r="K343" s="1">
        <f t="shared" si="5"/>
        <v>1.2501190375673016E-9</v>
      </c>
    </row>
    <row r="344" spans="10:11">
      <c r="J344" s="1">
        <v>342</v>
      </c>
      <c r="K344" s="1">
        <f t="shared" si="5"/>
        <v>1.2549964402704868E-9</v>
      </c>
    </row>
    <row r="345" spans="10:11">
      <c r="J345" s="1">
        <v>343</v>
      </c>
      <c r="K345" s="1">
        <f t="shared" si="5"/>
        <v>1.2598809688271987E-9</v>
      </c>
    </row>
    <row r="346" spans="10:11">
      <c r="J346" s="1">
        <v>344</v>
      </c>
      <c r="K346" s="1">
        <f t="shared" si="5"/>
        <v>1.2647726232374379E-9</v>
      </c>
    </row>
    <row r="347" spans="10:11">
      <c r="J347" s="1">
        <v>345</v>
      </c>
      <c r="K347" s="1">
        <f t="shared" si="5"/>
        <v>1.2696714035012039E-9</v>
      </c>
    </row>
    <row r="348" spans="10:11">
      <c r="J348" s="1">
        <v>346</v>
      </c>
      <c r="K348" s="1">
        <f t="shared" si="5"/>
        <v>1.2745773096184972E-9</v>
      </c>
    </row>
    <row r="349" spans="10:11">
      <c r="J349" s="1">
        <v>347</v>
      </c>
      <c r="K349" s="1">
        <f t="shared" si="5"/>
        <v>1.2794903415893175E-9</v>
      </c>
    </row>
    <row r="350" spans="10:11">
      <c r="J350" s="1">
        <v>348</v>
      </c>
      <c r="K350" s="1">
        <f t="shared" si="5"/>
        <v>1.2844104994136649E-9</v>
      </c>
    </row>
    <row r="351" spans="10:11">
      <c r="J351" s="1">
        <v>349</v>
      </c>
      <c r="K351" s="1">
        <f t="shared" si="5"/>
        <v>1.289337783091539E-9</v>
      </c>
    </row>
    <row r="352" spans="10:11">
      <c r="J352" s="1">
        <v>350</v>
      </c>
      <c r="K352" s="1">
        <f t="shared" si="5"/>
        <v>1.2942721926229405E-9</v>
      </c>
    </row>
    <row r="353" spans="10:11">
      <c r="J353" s="1">
        <v>351</v>
      </c>
      <c r="K353" s="1">
        <f t="shared" si="5"/>
        <v>1.2992137280078691E-9</v>
      </c>
    </row>
    <row r="354" spans="10:11">
      <c r="J354" s="1">
        <v>352</v>
      </c>
      <c r="K354" s="1">
        <f t="shared" si="5"/>
        <v>1.3041623892463246E-9</v>
      </c>
    </row>
    <row r="355" spans="10:11">
      <c r="J355" s="1">
        <v>353</v>
      </c>
      <c r="K355" s="1">
        <f t="shared" si="5"/>
        <v>1.3091181763383073E-9</v>
      </c>
    </row>
    <row r="356" spans="10:11">
      <c r="J356" s="1">
        <v>354</v>
      </c>
      <c r="K356" s="1">
        <f t="shared" si="5"/>
        <v>1.3140810892838167E-9</v>
      </c>
    </row>
    <row r="357" spans="10:11">
      <c r="J357" s="1">
        <v>355</v>
      </c>
      <c r="K357" s="1">
        <f t="shared" si="5"/>
        <v>1.3190511280828536E-9</v>
      </c>
    </row>
    <row r="358" spans="10:11">
      <c r="J358" s="1">
        <v>356</v>
      </c>
      <c r="K358" s="1">
        <f t="shared" si="5"/>
        <v>1.3240282927354173E-9</v>
      </c>
    </row>
    <row r="359" spans="10:11">
      <c r="J359" s="1">
        <v>357</v>
      </c>
      <c r="K359" s="1">
        <f t="shared" si="5"/>
        <v>1.3290125832415079E-9</v>
      </c>
    </row>
    <row r="360" spans="10:11">
      <c r="J360" s="1">
        <v>358</v>
      </c>
      <c r="K360" s="1">
        <f t="shared" si="5"/>
        <v>1.3340039996011258E-9</v>
      </c>
    </row>
    <row r="361" spans="10:11">
      <c r="J361" s="1">
        <v>359</v>
      </c>
      <c r="K361" s="1">
        <f t="shared" si="5"/>
        <v>1.3390025418142705E-9</v>
      </c>
    </row>
    <row r="362" spans="10:11">
      <c r="J362" s="1">
        <v>360</v>
      </c>
      <c r="K362" s="1">
        <f t="shared" si="5"/>
        <v>1.3440082098809425E-9</v>
      </c>
    </row>
    <row r="363" spans="10:11">
      <c r="J363" s="1">
        <v>361</v>
      </c>
      <c r="K363" s="1">
        <f t="shared" si="5"/>
        <v>1.3490210038011413E-9</v>
      </c>
    </row>
    <row r="364" spans="10:11">
      <c r="J364" s="1">
        <v>362</v>
      </c>
      <c r="K364" s="1">
        <f t="shared" si="5"/>
        <v>1.3540409235748672E-9</v>
      </c>
    </row>
    <row r="365" spans="10:11">
      <c r="J365" s="1">
        <v>363</v>
      </c>
      <c r="K365" s="1">
        <f t="shared" si="5"/>
        <v>1.3590679692021204E-9</v>
      </c>
    </row>
    <row r="366" spans="10:11">
      <c r="J366" s="1">
        <v>364</v>
      </c>
      <c r="K366" s="1">
        <f t="shared" si="5"/>
        <v>1.3641021406829004E-9</v>
      </c>
    </row>
    <row r="367" spans="10:11">
      <c r="J367" s="1">
        <v>365</v>
      </c>
      <c r="K367" s="1">
        <f t="shared" si="5"/>
        <v>1.3691434380172077E-9</v>
      </c>
    </row>
    <row r="368" spans="10:11">
      <c r="J368" s="1">
        <v>366</v>
      </c>
      <c r="K368" s="1">
        <f t="shared" si="5"/>
        <v>1.3741918612050417E-9</v>
      </c>
    </row>
    <row r="369" spans="10:11">
      <c r="J369" s="1">
        <v>367</v>
      </c>
      <c r="K369" s="1">
        <f t="shared" si="5"/>
        <v>1.3792474102464031E-9</v>
      </c>
    </row>
    <row r="370" spans="10:11">
      <c r="J370" s="1">
        <v>368</v>
      </c>
      <c r="K370" s="1">
        <f t="shared" si="5"/>
        <v>1.3843100851412916E-9</v>
      </c>
    </row>
    <row r="371" spans="10:11">
      <c r="J371" s="1">
        <v>369</v>
      </c>
      <c r="K371" s="1">
        <f t="shared" si="5"/>
        <v>1.3893798858897066E-9</v>
      </c>
    </row>
    <row r="372" spans="10:11">
      <c r="J372" s="1">
        <v>370</v>
      </c>
      <c r="K372" s="1">
        <f t="shared" si="5"/>
        <v>1.3944568124916492E-9</v>
      </c>
    </row>
    <row r="373" spans="10:11">
      <c r="J373" s="1">
        <v>371</v>
      </c>
      <c r="K373" s="1">
        <f t="shared" si="5"/>
        <v>1.3995408649471185E-9</v>
      </c>
    </row>
    <row r="374" spans="10:11">
      <c r="J374" s="1">
        <v>372</v>
      </c>
      <c r="K374" s="1">
        <f t="shared" si="5"/>
        <v>1.4046320432561149E-9</v>
      </c>
    </row>
    <row r="375" spans="10:11">
      <c r="J375" s="1">
        <v>373</v>
      </c>
      <c r="K375" s="1">
        <f t="shared" si="5"/>
        <v>1.4097303474186385E-9</v>
      </c>
    </row>
    <row r="376" spans="10:11">
      <c r="J376" s="1">
        <v>374</v>
      </c>
      <c r="K376" s="1">
        <f t="shared" si="5"/>
        <v>1.4148357774346892E-9</v>
      </c>
    </row>
    <row r="377" spans="10:11">
      <c r="J377" s="1">
        <v>375</v>
      </c>
      <c r="K377" s="1">
        <f t="shared" si="5"/>
        <v>1.4199483333042669E-9</v>
      </c>
    </row>
    <row r="378" spans="10:11">
      <c r="J378" s="1">
        <v>376</v>
      </c>
      <c r="K378" s="1">
        <f t="shared" si="5"/>
        <v>1.4250680150273717E-9</v>
      </c>
    </row>
    <row r="379" spans="10:11">
      <c r="J379" s="1">
        <v>377</v>
      </c>
      <c r="K379" s="1">
        <f t="shared" si="5"/>
        <v>1.430194822604003E-9</v>
      </c>
    </row>
    <row r="380" spans="10:11">
      <c r="J380" s="1">
        <v>378</v>
      </c>
      <c r="K380" s="1">
        <f t="shared" si="5"/>
        <v>1.4353287560341621E-9</v>
      </c>
    </row>
    <row r="381" spans="10:11">
      <c r="J381" s="1">
        <v>379</v>
      </c>
      <c r="K381" s="1">
        <f t="shared" si="5"/>
        <v>1.4404698153178479E-9</v>
      </c>
    </row>
    <row r="382" spans="10:11">
      <c r="J382" s="1">
        <v>380</v>
      </c>
      <c r="K382" s="1">
        <f t="shared" si="5"/>
        <v>1.4456180004550608E-9</v>
      </c>
    </row>
    <row r="383" spans="10:11">
      <c r="J383" s="1">
        <v>381</v>
      </c>
      <c r="K383" s="1">
        <f t="shared" si="5"/>
        <v>1.4507733114458005E-9</v>
      </c>
    </row>
    <row r="384" spans="10:11">
      <c r="J384" s="1">
        <v>382</v>
      </c>
      <c r="K384" s="1">
        <f t="shared" si="5"/>
        <v>1.4559357482900677E-9</v>
      </c>
    </row>
    <row r="385" spans="10:11">
      <c r="J385" s="1">
        <v>383</v>
      </c>
      <c r="K385" s="1">
        <f t="shared" si="5"/>
        <v>1.4611053109878616E-9</v>
      </c>
    </row>
    <row r="386" spans="10:11">
      <c r="J386" s="1">
        <v>384</v>
      </c>
      <c r="K386" s="1">
        <f t="shared" si="5"/>
        <v>1.4662819995391825E-9</v>
      </c>
    </row>
    <row r="387" spans="10:11">
      <c r="J387" s="1">
        <v>385</v>
      </c>
      <c r="K387" s="1">
        <f t="shared" ref="K387:K450" si="6">B$5*B$6*SIN(B$1)*(B$7*(J387+1)+B$8*J387*(J387+1)/2000)/(B$3*1000*B$2)</f>
        <v>1.4714658139440309E-9</v>
      </c>
    </row>
    <row r="388" spans="10:11">
      <c r="J388" s="1">
        <v>386</v>
      </c>
      <c r="K388" s="1">
        <f t="shared" si="6"/>
        <v>1.4766567542024056E-9</v>
      </c>
    </row>
    <row r="389" spans="10:11">
      <c r="J389" s="1">
        <v>387</v>
      </c>
      <c r="K389" s="1">
        <f t="shared" si="6"/>
        <v>1.4818548203143079E-9</v>
      </c>
    </row>
    <row r="390" spans="10:11">
      <c r="J390" s="1">
        <v>388</v>
      </c>
      <c r="K390" s="1">
        <f t="shared" si="6"/>
        <v>1.4870600122797376E-9</v>
      </c>
    </row>
    <row r="391" spans="10:11">
      <c r="J391" s="1">
        <v>389</v>
      </c>
      <c r="K391" s="1">
        <f t="shared" si="6"/>
        <v>1.4922723300986939E-9</v>
      </c>
    </row>
    <row r="392" spans="10:11">
      <c r="J392" s="1">
        <v>390</v>
      </c>
      <c r="K392" s="1">
        <f t="shared" si="6"/>
        <v>1.497491773771177E-9</v>
      </c>
    </row>
    <row r="393" spans="10:11">
      <c r="J393" s="1">
        <v>391</v>
      </c>
      <c r="K393" s="1">
        <f t="shared" si="6"/>
        <v>1.5027183432971872E-9</v>
      </c>
    </row>
    <row r="394" spans="10:11">
      <c r="J394" s="1">
        <v>392</v>
      </c>
      <c r="K394" s="1">
        <f t="shared" si="6"/>
        <v>1.507952038676725E-9</v>
      </c>
    </row>
    <row r="395" spans="10:11">
      <c r="J395" s="1">
        <v>393</v>
      </c>
      <c r="K395" s="1">
        <f t="shared" si="6"/>
        <v>1.5131928599097893E-9</v>
      </c>
    </row>
    <row r="396" spans="10:11">
      <c r="J396" s="1">
        <v>394</v>
      </c>
      <c r="K396" s="1">
        <f t="shared" si="6"/>
        <v>1.5184408069963809E-9</v>
      </c>
    </row>
    <row r="397" spans="10:11">
      <c r="J397" s="1">
        <v>395</v>
      </c>
      <c r="K397" s="1">
        <f t="shared" si="6"/>
        <v>1.5236958799364997E-9</v>
      </c>
    </row>
    <row r="398" spans="10:11">
      <c r="J398" s="1">
        <v>396</v>
      </c>
      <c r="K398" s="1">
        <f t="shared" si="6"/>
        <v>1.5289580787301452E-9</v>
      </c>
    </row>
    <row r="399" spans="10:11">
      <c r="J399" s="1">
        <v>397</v>
      </c>
      <c r="K399" s="1">
        <f t="shared" si="6"/>
        <v>1.534227403377318E-9</v>
      </c>
    </row>
    <row r="400" spans="10:11">
      <c r="J400" s="1">
        <v>398</v>
      </c>
      <c r="K400" s="1">
        <f t="shared" si="6"/>
        <v>1.5395038538780178E-9</v>
      </c>
    </row>
    <row r="401" spans="10:11">
      <c r="J401" s="1">
        <v>399</v>
      </c>
      <c r="K401" s="1">
        <f t="shared" si="6"/>
        <v>1.5447874302322443E-9</v>
      </c>
    </row>
    <row r="402" spans="10:11">
      <c r="J402" s="1">
        <v>400</v>
      </c>
      <c r="K402" s="1">
        <f t="shared" si="6"/>
        <v>1.5500781324399984E-9</v>
      </c>
    </row>
    <row r="403" spans="10:11">
      <c r="J403" s="1">
        <v>401</v>
      </c>
      <c r="K403" s="1">
        <f t="shared" si="6"/>
        <v>1.555375960501279E-9</v>
      </c>
    </row>
    <row r="404" spans="10:11">
      <c r="J404" s="1">
        <v>402</v>
      </c>
      <c r="K404" s="1">
        <f t="shared" si="6"/>
        <v>1.5606809144160869E-9</v>
      </c>
    </row>
    <row r="405" spans="10:11">
      <c r="J405" s="1">
        <v>403</v>
      </c>
      <c r="K405" s="1">
        <f t="shared" si="6"/>
        <v>1.5659929941844221E-9</v>
      </c>
    </row>
    <row r="406" spans="10:11">
      <c r="J406" s="1">
        <v>404</v>
      </c>
      <c r="K406" s="1">
        <f t="shared" si="6"/>
        <v>1.5713121998062839E-9</v>
      </c>
    </row>
    <row r="407" spans="10:11">
      <c r="J407" s="1">
        <v>405</v>
      </c>
      <c r="K407" s="1">
        <f t="shared" si="6"/>
        <v>1.576638531281673E-9</v>
      </c>
    </row>
    <row r="408" spans="10:11">
      <c r="J408" s="1">
        <v>406</v>
      </c>
      <c r="K408" s="1">
        <f t="shared" si="6"/>
        <v>1.5819719886105891E-9</v>
      </c>
    </row>
    <row r="409" spans="10:11">
      <c r="J409" s="1">
        <v>407</v>
      </c>
      <c r="K409" s="1">
        <f t="shared" si="6"/>
        <v>1.5873125717930329E-9</v>
      </c>
    </row>
    <row r="410" spans="10:11">
      <c r="J410" s="1">
        <v>408</v>
      </c>
      <c r="K410" s="1">
        <f t="shared" si="6"/>
        <v>1.5926602808290029E-9</v>
      </c>
    </row>
    <row r="411" spans="10:11">
      <c r="J411" s="1">
        <v>409</v>
      </c>
      <c r="K411" s="1">
        <f t="shared" si="6"/>
        <v>1.5980151157184997E-9</v>
      </c>
    </row>
    <row r="412" spans="10:11">
      <c r="J412" s="1">
        <v>410</v>
      </c>
      <c r="K412" s="1">
        <f t="shared" si="6"/>
        <v>1.6033770764615243E-9</v>
      </c>
    </row>
    <row r="413" spans="10:11">
      <c r="J413" s="1">
        <v>411</v>
      </c>
      <c r="K413" s="1">
        <f t="shared" si="6"/>
        <v>1.6087461630580759E-9</v>
      </c>
    </row>
    <row r="414" spans="10:11">
      <c r="J414" s="1">
        <v>412</v>
      </c>
      <c r="K414" s="1">
        <f t="shared" si="6"/>
        <v>1.6141223755081539E-9</v>
      </c>
    </row>
    <row r="415" spans="10:11">
      <c r="J415" s="1">
        <v>413</v>
      </c>
      <c r="K415" s="1">
        <f t="shared" si="6"/>
        <v>1.6195057138117598E-9</v>
      </c>
    </row>
    <row r="416" spans="10:11">
      <c r="J416" s="1">
        <v>414</v>
      </c>
      <c r="K416" s="1">
        <f t="shared" si="6"/>
        <v>1.6248961779688921E-9</v>
      </c>
    </row>
    <row r="417" spans="10:11">
      <c r="J417" s="1">
        <v>415</v>
      </c>
      <c r="K417" s="1">
        <f t="shared" si="6"/>
        <v>1.6302937679795518E-9</v>
      </c>
    </row>
    <row r="418" spans="10:11">
      <c r="J418" s="1">
        <v>416</v>
      </c>
      <c r="K418" s="1">
        <f t="shared" si="6"/>
        <v>1.6356984838437382E-9</v>
      </c>
    </row>
    <row r="419" spans="10:11">
      <c r="J419" s="1">
        <v>417</v>
      </c>
      <c r="K419" s="1">
        <f t="shared" si="6"/>
        <v>1.6411103255614518E-9</v>
      </c>
    </row>
    <row r="420" spans="10:11">
      <c r="J420" s="1">
        <v>418</v>
      </c>
      <c r="K420" s="1">
        <f t="shared" si="6"/>
        <v>1.6465292931326931E-9</v>
      </c>
    </row>
    <row r="421" spans="10:11">
      <c r="J421" s="1">
        <v>419</v>
      </c>
      <c r="K421" s="1">
        <f t="shared" si="6"/>
        <v>1.6519553865574605E-9</v>
      </c>
    </row>
    <row r="422" spans="10:11">
      <c r="J422" s="1">
        <v>420</v>
      </c>
      <c r="K422" s="1">
        <f t="shared" si="6"/>
        <v>1.6573886058357555E-9</v>
      </c>
    </row>
    <row r="423" spans="10:11">
      <c r="J423" s="1">
        <v>421</v>
      </c>
      <c r="K423" s="1">
        <f t="shared" si="6"/>
        <v>1.6628289509675772E-9</v>
      </c>
    </row>
    <row r="424" spans="10:11">
      <c r="J424" s="1">
        <v>422</v>
      </c>
      <c r="K424" s="1">
        <f t="shared" si="6"/>
        <v>1.6682764219529262E-9</v>
      </c>
    </row>
    <row r="425" spans="10:11">
      <c r="J425" s="1">
        <v>423</v>
      </c>
      <c r="K425" s="1">
        <f t="shared" si="6"/>
        <v>1.6737310187918022E-9</v>
      </c>
    </row>
    <row r="426" spans="10:11">
      <c r="J426" s="1">
        <v>424</v>
      </c>
      <c r="K426" s="1">
        <f t="shared" si="6"/>
        <v>1.6791927414842049E-9</v>
      </c>
    </row>
    <row r="427" spans="10:11">
      <c r="J427" s="1">
        <v>425</v>
      </c>
      <c r="K427" s="1">
        <f t="shared" si="6"/>
        <v>1.6846615900301351E-9</v>
      </c>
    </row>
    <row r="428" spans="10:11">
      <c r="J428" s="1">
        <v>426</v>
      </c>
      <c r="K428" s="1">
        <f t="shared" si="6"/>
        <v>1.6901375644295923E-9</v>
      </c>
    </row>
    <row r="429" spans="10:11">
      <c r="J429" s="1">
        <v>427</v>
      </c>
      <c r="K429" s="1">
        <f t="shared" si="6"/>
        <v>1.6956206646825766E-9</v>
      </c>
    </row>
    <row r="430" spans="10:11">
      <c r="J430" s="1">
        <v>428</v>
      </c>
      <c r="K430" s="1">
        <f t="shared" si="6"/>
        <v>1.7011108907890877E-9</v>
      </c>
    </row>
    <row r="431" spans="10:11">
      <c r="J431" s="1">
        <v>429</v>
      </c>
      <c r="K431" s="1">
        <f t="shared" si="6"/>
        <v>1.7066082427491259E-9</v>
      </c>
    </row>
    <row r="432" spans="10:11">
      <c r="J432" s="1">
        <v>430</v>
      </c>
      <c r="K432" s="1">
        <f t="shared" si="6"/>
        <v>1.7121127205626912E-9</v>
      </c>
    </row>
    <row r="433" spans="10:11">
      <c r="J433" s="1">
        <v>431</v>
      </c>
      <c r="K433" s="1">
        <f t="shared" si="6"/>
        <v>1.7176243242297834E-9</v>
      </c>
    </row>
    <row r="434" spans="10:11">
      <c r="J434" s="1">
        <v>432</v>
      </c>
      <c r="K434" s="1">
        <f t="shared" si="6"/>
        <v>1.7231430537504028E-9</v>
      </c>
    </row>
    <row r="435" spans="10:11">
      <c r="J435" s="1">
        <v>433</v>
      </c>
      <c r="K435" s="1">
        <f t="shared" si="6"/>
        <v>1.7286689091245496E-9</v>
      </c>
    </row>
    <row r="436" spans="10:11">
      <c r="J436" s="1">
        <v>434</v>
      </c>
      <c r="K436" s="1">
        <f t="shared" si="6"/>
        <v>1.7342018903522226E-9</v>
      </c>
    </row>
    <row r="437" spans="10:11">
      <c r="J437" s="1">
        <v>435</v>
      </c>
      <c r="K437" s="1">
        <f t="shared" si="6"/>
        <v>1.7397419974334232E-9</v>
      </c>
    </row>
    <row r="438" spans="10:11">
      <c r="J438" s="1">
        <v>436</v>
      </c>
      <c r="K438" s="1">
        <f t="shared" si="6"/>
        <v>1.745289230368151E-9</v>
      </c>
    </row>
    <row r="439" spans="10:11">
      <c r="J439" s="1">
        <v>437</v>
      </c>
      <c r="K439" s="1">
        <f t="shared" si="6"/>
        <v>1.7508435891564054E-9</v>
      </c>
    </row>
    <row r="440" spans="10:11">
      <c r="J440" s="1">
        <v>438</v>
      </c>
      <c r="K440" s="1">
        <f t="shared" si="6"/>
        <v>1.7564050737981872E-9</v>
      </c>
    </row>
    <row r="441" spans="10:11">
      <c r="J441" s="1">
        <v>439</v>
      </c>
      <c r="K441" s="1">
        <f t="shared" si="6"/>
        <v>1.7619736842934962E-9</v>
      </c>
    </row>
    <row r="442" spans="10:11">
      <c r="J442" s="1">
        <v>440</v>
      </c>
      <c r="K442" s="1">
        <f t="shared" si="6"/>
        <v>1.7675494206423319E-9</v>
      </c>
    </row>
    <row r="443" spans="10:11">
      <c r="J443" s="1">
        <v>441</v>
      </c>
      <c r="K443" s="1">
        <f t="shared" si="6"/>
        <v>1.7731322828446947E-9</v>
      </c>
    </row>
    <row r="444" spans="10:11">
      <c r="J444" s="1">
        <v>442</v>
      </c>
      <c r="K444" s="1">
        <f t="shared" si="6"/>
        <v>1.7787222709005846E-9</v>
      </c>
    </row>
    <row r="445" spans="10:11">
      <c r="J445" s="1">
        <v>443</v>
      </c>
      <c r="K445" s="1">
        <f t="shared" si="6"/>
        <v>1.7843193848100015E-9</v>
      </c>
    </row>
    <row r="446" spans="10:11">
      <c r="J446" s="1">
        <v>444</v>
      </c>
      <c r="K446" s="1">
        <f t="shared" si="6"/>
        <v>1.7899236245729453E-9</v>
      </c>
    </row>
    <row r="447" spans="10:11">
      <c r="J447" s="1">
        <v>445</v>
      </c>
      <c r="K447" s="1">
        <f t="shared" si="6"/>
        <v>1.7955349901894165E-9</v>
      </c>
    </row>
    <row r="448" spans="10:11">
      <c r="J448" s="1">
        <v>446</v>
      </c>
      <c r="K448" s="1">
        <f t="shared" si="6"/>
        <v>1.8011534816594144E-9</v>
      </c>
    </row>
    <row r="449" spans="10:11">
      <c r="J449" s="1">
        <v>447</v>
      </c>
      <c r="K449" s="1">
        <f t="shared" si="6"/>
        <v>1.8067790989829398E-9</v>
      </c>
    </row>
    <row r="450" spans="10:11">
      <c r="J450" s="1">
        <v>448</v>
      </c>
      <c r="K450" s="1">
        <f t="shared" si="6"/>
        <v>1.8124118421599918E-9</v>
      </c>
    </row>
    <row r="451" spans="10:11">
      <c r="J451" s="1">
        <v>449</v>
      </c>
      <c r="K451" s="1">
        <f t="shared" ref="K451:K514" si="7">B$5*B$6*SIN(B$1)*(B$7*(J451+1)+B$8*J451*(J451+1)/2000)/(B$3*1000*B$2)</f>
        <v>1.8180517111905711E-9</v>
      </c>
    </row>
    <row r="452" spans="10:11">
      <c r="J452" s="1">
        <v>450</v>
      </c>
      <c r="K452" s="1">
        <f t="shared" si="7"/>
        <v>1.8236987060746771E-9</v>
      </c>
    </row>
    <row r="453" spans="10:11">
      <c r="J453" s="1">
        <v>451</v>
      </c>
      <c r="K453" s="1">
        <f t="shared" si="7"/>
        <v>1.8293528268123107E-9</v>
      </c>
    </row>
    <row r="454" spans="10:11">
      <c r="J454" s="1">
        <v>452</v>
      </c>
      <c r="K454" s="1">
        <f t="shared" si="7"/>
        <v>1.8350140734034708E-9</v>
      </c>
    </row>
    <row r="455" spans="10:11">
      <c r="J455" s="1">
        <v>453</v>
      </c>
      <c r="K455" s="1">
        <f t="shared" si="7"/>
        <v>1.8406824458481583E-9</v>
      </c>
    </row>
    <row r="456" spans="10:11">
      <c r="J456" s="1">
        <v>454</v>
      </c>
      <c r="K456" s="1">
        <f t="shared" si="7"/>
        <v>1.846357944146373E-9</v>
      </c>
    </row>
    <row r="457" spans="10:11">
      <c r="J457" s="1">
        <v>455</v>
      </c>
      <c r="K457" s="1">
        <f t="shared" si="7"/>
        <v>1.8520405682981144E-9</v>
      </c>
    </row>
    <row r="458" spans="10:11">
      <c r="J458" s="1">
        <v>456</v>
      </c>
      <c r="K458" s="1">
        <f t="shared" si="7"/>
        <v>1.8577303183033828E-9</v>
      </c>
    </row>
    <row r="459" spans="10:11">
      <c r="J459" s="1">
        <v>457</v>
      </c>
      <c r="K459" s="1">
        <f t="shared" si="7"/>
        <v>1.8634271941621782E-9</v>
      </c>
    </row>
    <row r="460" spans="10:11">
      <c r="J460" s="1">
        <v>458</v>
      </c>
      <c r="K460" s="1">
        <f t="shared" si="7"/>
        <v>1.8691311958745013E-9</v>
      </c>
    </row>
    <row r="461" spans="10:11">
      <c r="J461" s="1">
        <v>459</v>
      </c>
      <c r="K461" s="1">
        <f t="shared" si="7"/>
        <v>1.874842323440351E-9</v>
      </c>
    </row>
    <row r="462" spans="10:11">
      <c r="J462" s="1">
        <v>460</v>
      </c>
      <c r="K462" s="1">
        <f t="shared" si="7"/>
        <v>1.880560576859728E-9</v>
      </c>
    </row>
    <row r="463" spans="10:11">
      <c r="J463" s="1">
        <v>461</v>
      </c>
      <c r="K463" s="1">
        <f t="shared" si="7"/>
        <v>1.8862859561326315E-9</v>
      </c>
    </row>
    <row r="464" spans="10:11">
      <c r="J464" s="1">
        <v>462</v>
      </c>
      <c r="K464" s="1">
        <f t="shared" si="7"/>
        <v>1.8920184612590624E-9</v>
      </c>
    </row>
    <row r="465" spans="10:11">
      <c r="J465" s="1">
        <v>463</v>
      </c>
      <c r="K465" s="1">
        <f t="shared" si="7"/>
        <v>1.8977580922390202E-9</v>
      </c>
    </row>
    <row r="466" spans="10:11">
      <c r="J466" s="1">
        <v>464</v>
      </c>
      <c r="K466" s="1">
        <f t="shared" si="7"/>
        <v>1.9035048490725049E-9</v>
      </c>
    </row>
    <row r="467" spans="10:11">
      <c r="J467" s="1">
        <v>465</v>
      </c>
      <c r="K467" s="1">
        <f t="shared" si="7"/>
        <v>1.909258731759517E-9</v>
      </c>
    </row>
    <row r="468" spans="10:11">
      <c r="J468" s="1">
        <v>466</v>
      </c>
      <c r="K468" s="1">
        <f t="shared" si="7"/>
        <v>1.915019740300056E-9</v>
      </c>
    </row>
    <row r="469" spans="10:11">
      <c r="J469" s="1">
        <v>467</v>
      </c>
      <c r="K469" s="1">
        <f t="shared" si="7"/>
        <v>1.9207878746941228E-9</v>
      </c>
    </row>
    <row r="470" spans="10:11">
      <c r="J470" s="1">
        <v>468</v>
      </c>
      <c r="K470" s="1">
        <f t="shared" si="7"/>
        <v>1.9265631349417152E-9</v>
      </c>
    </row>
    <row r="471" spans="10:11">
      <c r="J471" s="1">
        <v>469</v>
      </c>
      <c r="K471" s="1">
        <f t="shared" si="7"/>
        <v>1.9323455210428354E-9</v>
      </c>
    </row>
    <row r="472" spans="10:11">
      <c r="J472" s="1">
        <v>470</v>
      </c>
      <c r="K472" s="1">
        <f t="shared" si="7"/>
        <v>1.938135032997483E-9</v>
      </c>
    </row>
    <row r="473" spans="10:11">
      <c r="J473" s="1">
        <v>471</v>
      </c>
      <c r="K473" s="1">
        <f t="shared" si="7"/>
        <v>1.9439316708056571E-9</v>
      </c>
    </row>
    <row r="474" spans="10:11">
      <c r="J474" s="1">
        <v>472</v>
      </c>
      <c r="K474" s="1">
        <f t="shared" si="7"/>
        <v>1.9497354344673585E-9</v>
      </c>
    </row>
    <row r="475" spans="10:11">
      <c r="J475" s="1">
        <v>473</v>
      </c>
      <c r="K475" s="1">
        <f t="shared" si="7"/>
        <v>1.9555463239825869E-9</v>
      </c>
    </row>
    <row r="476" spans="10:11">
      <c r="J476" s="1">
        <v>474</v>
      </c>
      <c r="K476" s="1">
        <f t="shared" si="7"/>
        <v>1.9613643393513422E-9</v>
      </c>
    </row>
    <row r="477" spans="10:11">
      <c r="J477" s="1">
        <v>475</v>
      </c>
      <c r="K477" s="1">
        <f t="shared" si="7"/>
        <v>1.9671894805736248E-9</v>
      </c>
    </row>
    <row r="478" spans="10:11">
      <c r="J478" s="1">
        <v>476</v>
      </c>
      <c r="K478" s="1">
        <f t="shared" si="7"/>
        <v>1.973021747649434E-9</v>
      </c>
    </row>
    <row r="479" spans="10:11">
      <c r="J479" s="1">
        <v>477</v>
      </c>
      <c r="K479" s="1">
        <f t="shared" si="7"/>
        <v>1.9788611405787709E-9</v>
      </c>
    </row>
    <row r="480" spans="10:11">
      <c r="J480" s="1">
        <v>478</v>
      </c>
      <c r="K480" s="1">
        <f t="shared" si="7"/>
        <v>1.9847076593616347E-9</v>
      </c>
    </row>
    <row r="481" spans="10:11">
      <c r="J481" s="1">
        <v>479</v>
      </c>
      <c r="K481" s="1">
        <f t="shared" si="7"/>
        <v>1.9905613039980255E-9</v>
      </c>
    </row>
    <row r="482" spans="10:11">
      <c r="J482" s="1">
        <v>480</v>
      </c>
      <c r="K482" s="1">
        <f t="shared" si="7"/>
        <v>1.9964220744879428E-9</v>
      </c>
    </row>
    <row r="483" spans="10:11">
      <c r="J483" s="1">
        <v>481</v>
      </c>
      <c r="K483" s="1">
        <f t="shared" si="7"/>
        <v>2.0022899708313874E-9</v>
      </c>
    </row>
    <row r="484" spans="10:11">
      <c r="J484" s="1">
        <v>482</v>
      </c>
      <c r="K484" s="1">
        <f t="shared" si="7"/>
        <v>2.0081649930283594E-9</v>
      </c>
    </row>
    <row r="485" spans="10:11">
      <c r="J485" s="1">
        <v>483</v>
      </c>
      <c r="K485" s="1">
        <f t="shared" si="7"/>
        <v>2.0140471410788583E-9</v>
      </c>
    </row>
    <row r="486" spans="10:11">
      <c r="J486" s="1">
        <v>484</v>
      </c>
      <c r="K486" s="1">
        <f t="shared" si="7"/>
        <v>2.0199364149828842E-9</v>
      </c>
    </row>
    <row r="487" spans="10:11">
      <c r="J487" s="1">
        <v>485</v>
      </c>
      <c r="K487" s="1">
        <f t="shared" si="7"/>
        <v>2.025832814740437E-9</v>
      </c>
    </row>
    <row r="488" spans="10:11">
      <c r="J488" s="1">
        <v>486</v>
      </c>
      <c r="K488" s="1">
        <f t="shared" si="7"/>
        <v>2.0317363403515171E-9</v>
      </c>
    </row>
    <row r="489" spans="10:11">
      <c r="J489" s="1">
        <v>487</v>
      </c>
      <c r="K489" s="1">
        <f t="shared" si="7"/>
        <v>2.0376469918161242E-9</v>
      </c>
    </row>
    <row r="490" spans="10:11">
      <c r="J490" s="1">
        <v>488</v>
      </c>
      <c r="K490" s="1">
        <f t="shared" si="7"/>
        <v>2.0435647691342586E-9</v>
      </c>
    </row>
    <row r="491" spans="10:11">
      <c r="J491" s="1">
        <v>489</v>
      </c>
      <c r="K491" s="1">
        <f t="shared" si="7"/>
        <v>2.0494896723059195E-9</v>
      </c>
    </row>
    <row r="492" spans="10:11">
      <c r="J492" s="1">
        <v>490</v>
      </c>
      <c r="K492" s="1">
        <f t="shared" si="7"/>
        <v>2.0554217013311078E-9</v>
      </c>
    </row>
    <row r="493" spans="10:11">
      <c r="J493" s="1">
        <v>491</v>
      </c>
      <c r="K493" s="1">
        <f t="shared" si="7"/>
        <v>2.061360856209823E-9</v>
      </c>
    </row>
    <row r="494" spans="10:11">
      <c r="J494" s="1">
        <v>492</v>
      </c>
      <c r="K494" s="1">
        <f t="shared" si="7"/>
        <v>2.0673071369420655E-9</v>
      </c>
    </row>
    <row r="495" spans="10:11">
      <c r="J495" s="1">
        <v>493</v>
      </c>
      <c r="K495" s="1">
        <f t="shared" si="7"/>
        <v>2.0732605435278346E-9</v>
      </c>
    </row>
    <row r="496" spans="10:11">
      <c r="J496" s="1">
        <v>494</v>
      </c>
      <c r="K496" s="1">
        <f t="shared" si="7"/>
        <v>2.0792210759671306E-9</v>
      </c>
    </row>
    <row r="497" spans="10:11">
      <c r="J497" s="1">
        <v>495</v>
      </c>
      <c r="K497" s="1">
        <f t="shared" si="7"/>
        <v>2.0851887342599548E-9</v>
      </c>
    </row>
    <row r="498" spans="10:11">
      <c r="J498" s="1">
        <v>496</v>
      </c>
      <c r="K498" s="1">
        <f t="shared" si="7"/>
        <v>2.091163518406305E-9</v>
      </c>
    </row>
    <row r="499" spans="10:11">
      <c r="J499" s="1">
        <v>497</v>
      </c>
      <c r="K499" s="1">
        <f t="shared" si="7"/>
        <v>2.0971454284061827E-9</v>
      </c>
    </row>
    <row r="500" spans="10:11">
      <c r="J500" s="1">
        <v>498</v>
      </c>
      <c r="K500" s="1">
        <f t="shared" si="7"/>
        <v>2.1031344642595872E-9</v>
      </c>
    </row>
    <row r="501" spans="10:11">
      <c r="J501" s="1">
        <v>499</v>
      </c>
      <c r="K501" s="1">
        <f t="shared" si="7"/>
        <v>2.1091306259665191E-9</v>
      </c>
    </row>
    <row r="502" spans="10:11">
      <c r="J502" s="1">
        <v>500</v>
      </c>
      <c r="K502" s="1">
        <f t="shared" si="7"/>
        <v>2.1151339135269775E-9</v>
      </c>
    </row>
    <row r="503" spans="10:11">
      <c r="J503" s="1">
        <v>501</v>
      </c>
      <c r="K503" s="1">
        <f t="shared" si="7"/>
        <v>2.1211443269409629E-9</v>
      </c>
    </row>
    <row r="504" spans="10:11">
      <c r="J504" s="1">
        <v>502</v>
      </c>
      <c r="K504" s="1">
        <f t="shared" si="7"/>
        <v>2.1271618662084764E-9</v>
      </c>
    </row>
    <row r="505" spans="10:11">
      <c r="J505" s="1">
        <v>503</v>
      </c>
      <c r="K505" s="1">
        <f t="shared" si="7"/>
        <v>2.133186531329516E-9</v>
      </c>
    </row>
    <row r="506" spans="10:11">
      <c r="J506" s="1">
        <v>504</v>
      </c>
      <c r="K506" s="1">
        <f t="shared" si="7"/>
        <v>2.139218322304083E-9</v>
      </c>
    </row>
    <row r="507" spans="10:11">
      <c r="J507" s="1">
        <v>505</v>
      </c>
      <c r="K507" s="1">
        <f t="shared" si="7"/>
        <v>2.1452572391321765E-9</v>
      </c>
    </row>
    <row r="508" spans="10:11">
      <c r="J508" s="1">
        <v>506</v>
      </c>
      <c r="K508" s="1">
        <f t="shared" si="7"/>
        <v>2.1513032818137977E-9</v>
      </c>
    </row>
    <row r="509" spans="10:11">
      <c r="J509" s="1">
        <v>507</v>
      </c>
      <c r="K509" s="1">
        <f t="shared" si="7"/>
        <v>2.1573564503489459E-9</v>
      </c>
    </row>
    <row r="510" spans="10:11">
      <c r="J510" s="1">
        <v>508</v>
      </c>
      <c r="K510" s="1">
        <f t="shared" si="7"/>
        <v>2.163416744737621E-9</v>
      </c>
    </row>
    <row r="511" spans="10:11">
      <c r="J511" s="1">
        <v>509</v>
      </c>
      <c r="K511" s="1">
        <f t="shared" si="7"/>
        <v>2.1694841649798227E-9</v>
      </c>
    </row>
    <row r="512" spans="10:11">
      <c r="J512" s="1">
        <v>510</v>
      </c>
      <c r="K512" s="1">
        <f t="shared" si="7"/>
        <v>2.1755587110755521E-9</v>
      </c>
    </row>
    <row r="513" spans="10:11">
      <c r="J513" s="1">
        <v>511</v>
      </c>
      <c r="K513" s="1">
        <f t="shared" si="7"/>
        <v>2.1816403830248084E-9</v>
      </c>
    </row>
    <row r="514" spans="10:11">
      <c r="J514" s="1">
        <v>512</v>
      </c>
      <c r="K514" s="1">
        <f t="shared" si="7"/>
        <v>2.1877291808275916E-9</v>
      </c>
    </row>
    <row r="515" spans="10:11">
      <c r="J515" s="1">
        <v>513</v>
      </c>
      <c r="K515" s="1">
        <f t="shared" ref="K515:K578" si="8">B$5*B$6*SIN(B$1)*(B$7*(J515+1)+B$8*J515*(J515+1)/2000)/(B$3*1000*B$2)</f>
        <v>2.1938251044839022E-9</v>
      </c>
    </row>
    <row r="516" spans="10:11">
      <c r="J516" s="1">
        <v>514</v>
      </c>
      <c r="K516" s="1">
        <f t="shared" si="8"/>
        <v>2.1999281539937394E-9</v>
      </c>
    </row>
    <row r="517" spans="10:11">
      <c r="J517" s="1">
        <v>515</v>
      </c>
      <c r="K517" s="1">
        <f t="shared" si="8"/>
        <v>2.2060383293571038E-9</v>
      </c>
    </row>
    <row r="518" spans="10:11">
      <c r="J518" s="1">
        <v>516</v>
      </c>
      <c r="K518" s="1">
        <f t="shared" si="8"/>
        <v>2.2121556305739952E-9</v>
      </c>
    </row>
    <row r="519" spans="10:11">
      <c r="J519" s="1">
        <v>517</v>
      </c>
      <c r="K519" s="1">
        <f t="shared" si="8"/>
        <v>2.218280057644414E-9</v>
      </c>
    </row>
    <row r="520" spans="10:11">
      <c r="J520" s="1">
        <v>518</v>
      </c>
      <c r="K520" s="1">
        <f t="shared" si="8"/>
        <v>2.2244116105683592E-9</v>
      </c>
    </row>
    <row r="521" spans="10:11">
      <c r="J521" s="1">
        <v>519</v>
      </c>
      <c r="K521" s="1">
        <f t="shared" si="8"/>
        <v>2.2305502893458322E-9</v>
      </c>
    </row>
    <row r="522" spans="10:11">
      <c r="J522" s="1">
        <v>520</v>
      </c>
      <c r="K522" s="1">
        <f t="shared" si="8"/>
        <v>2.2366960939768318E-9</v>
      </c>
    </row>
    <row r="523" spans="10:11">
      <c r="J523" s="1">
        <v>521</v>
      </c>
      <c r="K523" s="1">
        <f t="shared" si="8"/>
        <v>2.2428490244613582E-9</v>
      </c>
    </row>
    <row r="524" spans="10:11">
      <c r="J524" s="1">
        <v>522</v>
      </c>
      <c r="K524" s="1">
        <f t="shared" si="8"/>
        <v>2.2490090807994121E-9</v>
      </c>
    </row>
    <row r="525" spans="10:11">
      <c r="J525" s="1">
        <v>523</v>
      </c>
      <c r="K525" s="1">
        <f t="shared" si="8"/>
        <v>2.2551762629909928E-9</v>
      </c>
    </row>
    <row r="526" spans="10:11">
      <c r="J526" s="1">
        <v>524</v>
      </c>
      <c r="K526" s="1">
        <f t="shared" si="8"/>
        <v>2.2613505710361005E-9</v>
      </c>
    </row>
    <row r="527" spans="10:11">
      <c r="J527" s="1">
        <v>525</v>
      </c>
      <c r="K527" s="1">
        <f t="shared" si="8"/>
        <v>2.2675320049347359E-9</v>
      </c>
    </row>
    <row r="528" spans="10:11">
      <c r="J528" s="1">
        <v>526</v>
      </c>
      <c r="K528" s="1">
        <f t="shared" si="8"/>
        <v>2.2737205646868979E-9</v>
      </c>
    </row>
    <row r="529" spans="10:11">
      <c r="J529" s="1">
        <v>527</v>
      </c>
      <c r="K529" s="1">
        <f t="shared" si="8"/>
        <v>2.2799162502925864E-9</v>
      </c>
    </row>
    <row r="530" spans="10:11">
      <c r="J530" s="1">
        <v>528</v>
      </c>
      <c r="K530" s="1">
        <f t="shared" si="8"/>
        <v>2.2861190617518026E-9</v>
      </c>
    </row>
    <row r="531" spans="10:11">
      <c r="J531" s="1">
        <v>529</v>
      </c>
      <c r="K531" s="1">
        <f t="shared" si="8"/>
        <v>2.2923289990645458E-9</v>
      </c>
    </row>
    <row r="532" spans="10:11">
      <c r="J532" s="1">
        <v>530</v>
      </c>
      <c r="K532" s="1">
        <f t="shared" si="8"/>
        <v>2.2985460622308163E-9</v>
      </c>
    </row>
    <row r="533" spans="10:11">
      <c r="J533" s="1">
        <v>531</v>
      </c>
      <c r="K533" s="1">
        <f t="shared" si="8"/>
        <v>2.3047702512506133E-9</v>
      </c>
    </row>
    <row r="534" spans="10:11">
      <c r="J534" s="1">
        <v>532</v>
      </c>
      <c r="K534" s="1">
        <f t="shared" si="8"/>
        <v>2.3110015661239377E-9</v>
      </c>
    </row>
    <row r="535" spans="10:11">
      <c r="J535" s="1">
        <v>533</v>
      </c>
      <c r="K535" s="1">
        <f t="shared" si="8"/>
        <v>2.3172400068507886E-9</v>
      </c>
    </row>
    <row r="536" spans="10:11">
      <c r="J536" s="1">
        <v>534</v>
      </c>
      <c r="K536" s="1">
        <f t="shared" si="8"/>
        <v>2.3234855734311672E-9</v>
      </c>
    </row>
    <row r="537" spans="10:11">
      <c r="J537" s="1">
        <v>535</v>
      </c>
      <c r="K537" s="1">
        <f t="shared" si="8"/>
        <v>2.3297382658650724E-9</v>
      </c>
    </row>
    <row r="538" spans="10:11">
      <c r="J538" s="1">
        <v>536</v>
      </c>
      <c r="K538" s="1">
        <f t="shared" si="8"/>
        <v>2.3359980841525049E-9</v>
      </c>
    </row>
    <row r="539" spans="10:11">
      <c r="J539" s="1">
        <v>537</v>
      </c>
      <c r="K539" s="1">
        <f t="shared" si="8"/>
        <v>2.3422650282934644E-9</v>
      </c>
    </row>
    <row r="540" spans="10:11">
      <c r="J540" s="1">
        <v>538</v>
      </c>
      <c r="K540" s="1">
        <f t="shared" si="8"/>
        <v>2.3485390982879507E-9</v>
      </c>
    </row>
    <row r="541" spans="10:11">
      <c r="J541" s="1">
        <v>539</v>
      </c>
      <c r="K541" s="1">
        <f t="shared" si="8"/>
        <v>2.3548202941359645E-9</v>
      </c>
    </row>
    <row r="542" spans="10:11">
      <c r="J542" s="1">
        <v>540</v>
      </c>
      <c r="K542" s="1">
        <f t="shared" si="8"/>
        <v>2.3611086158375047E-9</v>
      </c>
    </row>
    <row r="543" spans="10:11">
      <c r="J543" s="1">
        <v>541</v>
      </c>
      <c r="K543" s="1">
        <f t="shared" si="8"/>
        <v>2.3674040633925727E-9</v>
      </c>
    </row>
    <row r="544" spans="10:11">
      <c r="J544" s="1">
        <v>542</v>
      </c>
      <c r="K544" s="1">
        <f t="shared" si="8"/>
        <v>2.3737066368011677E-9</v>
      </c>
    </row>
    <row r="545" spans="10:11">
      <c r="J545" s="1">
        <v>543</v>
      </c>
      <c r="K545" s="1">
        <f t="shared" si="8"/>
        <v>2.3800163360632895E-9</v>
      </c>
    </row>
    <row r="546" spans="10:11">
      <c r="J546" s="1">
        <v>544</v>
      </c>
      <c r="K546" s="1">
        <f t="shared" si="8"/>
        <v>2.3863331611789383E-9</v>
      </c>
    </row>
    <row r="547" spans="10:11">
      <c r="J547" s="1">
        <v>545</v>
      </c>
      <c r="K547" s="1">
        <f t="shared" si="8"/>
        <v>2.3926571121481141E-9</v>
      </c>
    </row>
    <row r="548" spans="10:11">
      <c r="J548" s="1">
        <v>546</v>
      </c>
      <c r="K548" s="1">
        <f t="shared" si="8"/>
        <v>2.3989881889708167E-9</v>
      </c>
    </row>
    <row r="549" spans="10:11">
      <c r="J549" s="1">
        <v>547</v>
      </c>
      <c r="K549" s="1">
        <f t="shared" si="8"/>
        <v>2.4053263916470467E-9</v>
      </c>
    </row>
    <row r="550" spans="10:11">
      <c r="J550" s="1">
        <v>548</v>
      </c>
      <c r="K550" s="1">
        <f t="shared" si="8"/>
        <v>2.4116717201768041E-9</v>
      </c>
    </row>
    <row r="551" spans="10:11">
      <c r="J551" s="1">
        <v>549</v>
      </c>
      <c r="K551" s="1">
        <f t="shared" si="8"/>
        <v>2.4180241745600884E-9</v>
      </c>
    </row>
    <row r="552" spans="10:11">
      <c r="J552" s="1">
        <v>550</v>
      </c>
      <c r="K552" s="1">
        <f t="shared" si="8"/>
        <v>2.4243837547968992E-9</v>
      </c>
    </row>
    <row r="553" spans="10:11">
      <c r="J553" s="1">
        <v>551</v>
      </c>
      <c r="K553" s="1">
        <f t="shared" si="8"/>
        <v>2.4307504608872369E-9</v>
      </c>
    </row>
    <row r="554" spans="10:11">
      <c r="J554" s="1">
        <v>552</v>
      </c>
      <c r="K554" s="1">
        <f t="shared" si="8"/>
        <v>2.4371242928311028E-9</v>
      </c>
    </row>
    <row r="555" spans="10:11">
      <c r="J555" s="1">
        <v>553</v>
      </c>
      <c r="K555" s="1">
        <f t="shared" si="8"/>
        <v>2.4435052506284948E-9</v>
      </c>
    </row>
    <row r="556" spans="10:11">
      <c r="J556" s="1">
        <v>554</v>
      </c>
      <c r="K556" s="1">
        <f t="shared" si="8"/>
        <v>2.4498933342794142E-9</v>
      </c>
    </row>
    <row r="557" spans="10:11">
      <c r="J557" s="1">
        <v>555</v>
      </c>
      <c r="K557" s="1">
        <f t="shared" si="8"/>
        <v>2.4562885437838605E-9</v>
      </c>
    </row>
    <row r="558" spans="10:11">
      <c r="J558" s="1">
        <v>556</v>
      </c>
      <c r="K558" s="1">
        <f t="shared" si="8"/>
        <v>2.4626908791418337E-9</v>
      </c>
    </row>
    <row r="559" spans="10:11">
      <c r="J559" s="1">
        <v>557</v>
      </c>
      <c r="K559" s="1">
        <f t="shared" si="8"/>
        <v>2.4691003403533343E-9</v>
      </c>
    </row>
    <row r="560" spans="10:11">
      <c r="J560" s="1">
        <v>558</v>
      </c>
      <c r="K560" s="1">
        <f t="shared" si="8"/>
        <v>2.4755169274183622E-9</v>
      </c>
    </row>
    <row r="561" spans="10:11">
      <c r="J561" s="1">
        <v>559</v>
      </c>
      <c r="K561" s="1">
        <f t="shared" si="8"/>
        <v>2.4819406403369162E-9</v>
      </c>
    </row>
    <row r="562" spans="10:11">
      <c r="J562" s="1">
        <v>560</v>
      </c>
      <c r="K562" s="1">
        <f t="shared" si="8"/>
        <v>2.4883714791089984E-9</v>
      </c>
    </row>
    <row r="563" spans="10:11">
      <c r="J563" s="1">
        <v>561</v>
      </c>
      <c r="K563" s="1">
        <f t="shared" si="8"/>
        <v>2.4948094437346067E-9</v>
      </c>
    </row>
    <row r="564" spans="10:11">
      <c r="J564" s="1">
        <v>562</v>
      </c>
      <c r="K564" s="1">
        <f t="shared" si="8"/>
        <v>2.5012545342137423E-9</v>
      </c>
    </row>
    <row r="565" spans="10:11">
      <c r="J565" s="1">
        <v>563</v>
      </c>
      <c r="K565" s="1">
        <f t="shared" si="8"/>
        <v>2.5077067505464049E-9</v>
      </c>
    </row>
    <row r="566" spans="10:11">
      <c r="J566" s="1">
        <v>564</v>
      </c>
      <c r="K566" s="1">
        <f t="shared" si="8"/>
        <v>2.5141660927325948E-9</v>
      </c>
    </row>
    <row r="567" spans="10:11">
      <c r="J567" s="1">
        <v>565</v>
      </c>
      <c r="K567" s="1">
        <f t="shared" si="8"/>
        <v>2.5206325607723121E-9</v>
      </c>
    </row>
    <row r="568" spans="10:11">
      <c r="J568" s="1">
        <v>566</v>
      </c>
      <c r="K568" s="1">
        <f t="shared" si="8"/>
        <v>2.5271061546655559E-9</v>
      </c>
    </row>
    <row r="569" spans="10:11">
      <c r="J569" s="1">
        <v>567</v>
      </c>
      <c r="K569" s="1">
        <f t="shared" si="8"/>
        <v>2.5335868744123266E-9</v>
      </c>
    </row>
    <row r="570" spans="10:11">
      <c r="J570" s="1">
        <v>568</v>
      </c>
      <c r="K570" s="1">
        <f t="shared" si="8"/>
        <v>2.5400747200126247E-9</v>
      </c>
    </row>
    <row r="571" spans="10:11">
      <c r="J571" s="1">
        <v>569</v>
      </c>
      <c r="K571" s="1">
        <f t="shared" si="8"/>
        <v>2.5465696914664501E-9</v>
      </c>
    </row>
    <row r="572" spans="10:11">
      <c r="J572" s="1">
        <v>570</v>
      </c>
      <c r="K572" s="1">
        <f t="shared" si="8"/>
        <v>2.553071788773802E-9</v>
      </c>
    </row>
    <row r="573" spans="10:11">
      <c r="J573" s="1">
        <v>571</v>
      </c>
      <c r="K573" s="1">
        <f t="shared" si="8"/>
        <v>2.5595810119346813E-9</v>
      </c>
    </row>
    <row r="574" spans="10:11">
      <c r="J574" s="1">
        <v>572</v>
      </c>
      <c r="K574" s="1">
        <f t="shared" si="8"/>
        <v>2.5660973609490871E-9</v>
      </c>
    </row>
    <row r="575" spans="10:11">
      <c r="J575" s="1">
        <v>573</v>
      </c>
      <c r="K575" s="1">
        <f t="shared" si="8"/>
        <v>2.5726208358170202E-9</v>
      </c>
    </row>
    <row r="576" spans="10:11">
      <c r="J576" s="1">
        <v>574</v>
      </c>
      <c r="K576" s="1">
        <f t="shared" si="8"/>
        <v>2.5791514365384807E-9</v>
      </c>
    </row>
    <row r="577" spans="10:11">
      <c r="J577" s="1">
        <v>575</v>
      </c>
      <c r="K577" s="1">
        <f t="shared" si="8"/>
        <v>2.5856891631134681E-9</v>
      </c>
    </row>
    <row r="578" spans="10:11">
      <c r="J578" s="1">
        <v>576</v>
      </c>
      <c r="K578" s="1">
        <f t="shared" si="8"/>
        <v>2.5922340155419824E-9</v>
      </c>
    </row>
    <row r="579" spans="10:11">
      <c r="J579" s="1">
        <v>577</v>
      </c>
      <c r="K579" s="1">
        <f t="shared" ref="K579:K642" si="9">B$5*B$6*SIN(B$1)*(B$7*(J579+1)+B$8*J579*(J579+1)/2000)/(B$3*1000*B$2)</f>
        <v>2.5987859938240237E-9</v>
      </c>
    </row>
    <row r="580" spans="10:11">
      <c r="J580" s="1">
        <v>578</v>
      </c>
      <c r="K580" s="1">
        <f t="shared" si="9"/>
        <v>2.6053450979595919E-9</v>
      </c>
    </row>
    <row r="581" spans="10:11">
      <c r="J581" s="1">
        <v>579</v>
      </c>
      <c r="K581" s="1">
        <f t="shared" si="9"/>
        <v>2.6119113279486879E-9</v>
      </c>
    </row>
    <row r="582" spans="10:11">
      <c r="J582" s="1">
        <v>580</v>
      </c>
      <c r="K582" s="1">
        <f t="shared" si="9"/>
        <v>2.6184846837913104E-9</v>
      </c>
    </row>
    <row r="583" spans="10:11">
      <c r="J583" s="1">
        <v>581</v>
      </c>
      <c r="K583" s="1">
        <f t="shared" si="9"/>
        <v>2.6250651654874602E-9</v>
      </c>
    </row>
    <row r="584" spans="10:11">
      <c r="J584" s="1">
        <v>582</v>
      </c>
      <c r="K584" s="1">
        <f t="shared" si="9"/>
        <v>2.6316527730371366E-9</v>
      </c>
    </row>
    <row r="585" spans="10:11">
      <c r="J585" s="1">
        <v>583</v>
      </c>
      <c r="K585" s="1">
        <f t="shared" si="9"/>
        <v>2.6382475064403403E-9</v>
      </c>
    </row>
    <row r="586" spans="10:11">
      <c r="J586" s="1">
        <v>584</v>
      </c>
      <c r="K586" s="1">
        <f t="shared" si="9"/>
        <v>2.6448493656970713E-9</v>
      </c>
    </row>
    <row r="587" spans="10:11">
      <c r="J587" s="1">
        <v>585</v>
      </c>
      <c r="K587" s="1">
        <f t="shared" si="9"/>
        <v>2.6514583508073289E-9</v>
      </c>
    </row>
    <row r="588" spans="10:11">
      <c r="J588" s="1">
        <v>586</v>
      </c>
      <c r="K588" s="1">
        <f t="shared" si="9"/>
        <v>2.6580744617711142E-9</v>
      </c>
    </row>
    <row r="589" spans="10:11">
      <c r="J589" s="1">
        <v>587</v>
      </c>
      <c r="K589" s="1">
        <f t="shared" si="9"/>
        <v>2.664697698588426E-9</v>
      </c>
    </row>
    <row r="590" spans="10:11">
      <c r="J590" s="1">
        <v>588</v>
      </c>
      <c r="K590" s="1">
        <f t="shared" si="9"/>
        <v>2.6713280612592644E-9</v>
      </c>
    </row>
    <row r="591" spans="10:11">
      <c r="J591" s="1">
        <v>589</v>
      </c>
      <c r="K591" s="1">
        <f t="shared" si="9"/>
        <v>2.6779655497836309E-9</v>
      </c>
    </row>
    <row r="592" spans="10:11">
      <c r="J592" s="1">
        <v>590</v>
      </c>
      <c r="K592" s="1">
        <f t="shared" si="9"/>
        <v>2.6846101641615239E-9</v>
      </c>
    </row>
    <row r="593" spans="10:11">
      <c r="J593" s="1">
        <v>591</v>
      </c>
      <c r="K593" s="1">
        <f t="shared" si="9"/>
        <v>2.6912619043929439E-9</v>
      </c>
    </row>
    <row r="594" spans="10:11">
      <c r="J594" s="1">
        <v>592</v>
      </c>
      <c r="K594" s="1">
        <f t="shared" si="9"/>
        <v>2.6979207704778912E-9</v>
      </c>
    </row>
    <row r="595" spans="10:11">
      <c r="J595" s="1">
        <v>593</v>
      </c>
      <c r="K595" s="1">
        <f t="shared" si="9"/>
        <v>2.7045867624163651E-9</v>
      </c>
    </row>
    <row r="596" spans="10:11">
      <c r="J596" s="1">
        <v>594</v>
      </c>
      <c r="K596" s="1">
        <f t="shared" si="9"/>
        <v>2.7112598802083671E-9</v>
      </c>
    </row>
    <row r="597" spans="10:11">
      <c r="J597" s="1">
        <v>595</v>
      </c>
      <c r="K597" s="1">
        <f t="shared" si="9"/>
        <v>2.7179401238538952E-9</v>
      </c>
    </row>
    <row r="598" spans="10:11">
      <c r="J598" s="1">
        <v>596</v>
      </c>
      <c r="K598" s="1">
        <f t="shared" si="9"/>
        <v>2.7246274933529503E-9</v>
      </c>
    </row>
    <row r="599" spans="10:11">
      <c r="J599" s="1">
        <v>597</v>
      </c>
      <c r="K599" s="1">
        <f t="shared" si="9"/>
        <v>2.7313219887055327E-9</v>
      </c>
    </row>
    <row r="600" spans="10:11">
      <c r="J600" s="1">
        <v>598</v>
      </c>
      <c r="K600" s="1">
        <f t="shared" si="9"/>
        <v>2.738023609911642E-9</v>
      </c>
    </row>
    <row r="601" spans="10:11">
      <c r="J601" s="1">
        <v>599</v>
      </c>
      <c r="K601" s="1">
        <f t="shared" si="9"/>
        <v>2.7447323569712787E-9</v>
      </c>
    </row>
    <row r="602" spans="10:11">
      <c r="J602" s="1">
        <v>600</v>
      </c>
      <c r="K602" s="1">
        <f t="shared" si="9"/>
        <v>2.7514482298844423E-9</v>
      </c>
    </row>
    <row r="603" spans="10:11">
      <c r="J603" s="1">
        <v>601</v>
      </c>
      <c r="K603" s="1">
        <f t="shared" si="9"/>
        <v>2.7581712286511328E-9</v>
      </c>
    </row>
    <row r="604" spans="10:11">
      <c r="J604" s="1">
        <v>602</v>
      </c>
      <c r="K604" s="1">
        <f t="shared" si="9"/>
        <v>2.7649013532713507E-9</v>
      </c>
    </row>
    <row r="605" spans="10:11">
      <c r="J605" s="1">
        <v>603</v>
      </c>
      <c r="K605" s="1">
        <f t="shared" si="9"/>
        <v>2.7716386037450951E-9</v>
      </c>
    </row>
    <row r="606" spans="10:11">
      <c r="J606" s="1">
        <v>604</v>
      </c>
      <c r="K606" s="1">
        <f t="shared" si="9"/>
        <v>2.7783829800723668E-9</v>
      </c>
    </row>
    <row r="607" spans="10:11">
      <c r="J607" s="1">
        <v>605</v>
      </c>
      <c r="K607" s="1">
        <f t="shared" si="9"/>
        <v>2.7851344822531655E-9</v>
      </c>
    </row>
    <row r="608" spans="10:11">
      <c r="J608" s="1">
        <v>606</v>
      </c>
      <c r="K608" s="1">
        <f t="shared" si="9"/>
        <v>2.791893110287492E-9</v>
      </c>
    </row>
    <row r="609" spans="10:11">
      <c r="J609" s="1">
        <v>607</v>
      </c>
      <c r="K609" s="1">
        <f t="shared" si="9"/>
        <v>2.7986588641753445E-9</v>
      </c>
    </row>
    <row r="610" spans="10:11">
      <c r="J610" s="1">
        <v>608</v>
      </c>
      <c r="K610" s="1">
        <f t="shared" si="9"/>
        <v>2.8054317439167244E-9</v>
      </c>
    </row>
    <row r="611" spans="10:11">
      <c r="J611" s="1">
        <v>609</v>
      </c>
      <c r="K611" s="1">
        <f t="shared" si="9"/>
        <v>2.8122117495116316E-9</v>
      </c>
    </row>
    <row r="612" spans="10:11">
      <c r="J612" s="1">
        <v>610</v>
      </c>
      <c r="K612" s="1">
        <f t="shared" si="9"/>
        <v>2.818998880960065E-9</v>
      </c>
    </row>
    <row r="613" spans="10:11">
      <c r="J613" s="1">
        <v>611</v>
      </c>
      <c r="K613" s="1">
        <f t="shared" si="9"/>
        <v>2.8257931382620269E-9</v>
      </c>
    </row>
    <row r="614" spans="10:11">
      <c r="J614" s="1">
        <v>612</v>
      </c>
      <c r="K614" s="1">
        <f t="shared" si="9"/>
        <v>2.8325945214175145E-9</v>
      </c>
    </row>
    <row r="615" spans="10:11">
      <c r="J615" s="1">
        <v>613</v>
      </c>
      <c r="K615" s="1">
        <f t="shared" si="9"/>
        <v>2.8394030304265291E-9</v>
      </c>
    </row>
    <row r="616" spans="10:11">
      <c r="J616" s="1">
        <v>614</v>
      </c>
      <c r="K616" s="1">
        <f t="shared" si="9"/>
        <v>2.8462186652890718E-9</v>
      </c>
    </row>
    <row r="617" spans="10:11">
      <c r="J617" s="1">
        <v>615</v>
      </c>
      <c r="K617" s="1">
        <f t="shared" si="9"/>
        <v>2.8530414260051414E-9</v>
      </c>
    </row>
    <row r="618" spans="10:11">
      <c r="J618" s="1">
        <v>616</v>
      </c>
      <c r="K618" s="1">
        <f t="shared" si="9"/>
        <v>2.8598713125747376E-9</v>
      </c>
    </row>
    <row r="619" spans="10:11">
      <c r="J619" s="1">
        <v>617</v>
      </c>
      <c r="K619" s="1">
        <f t="shared" si="9"/>
        <v>2.8667083249978607E-9</v>
      </c>
    </row>
    <row r="620" spans="10:11">
      <c r="J620" s="1">
        <v>618</v>
      </c>
      <c r="K620" s="1">
        <f t="shared" si="9"/>
        <v>2.8735524632745116E-9</v>
      </c>
    </row>
    <row r="621" spans="10:11">
      <c r="J621" s="1">
        <v>619</v>
      </c>
      <c r="K621" s="1">
        <f t="shared" si="9"/>
        <v>2.880403727404689E-9</v>
      </c>
    </row>
    <row r="622" spans="10:11">
      <c r="J622" s="1">
        <v>620</v>
      </c>
      <c r="K622" s="1">
        <f t="shared" si="9"/>
        <v>2.8872621173883937E-9</v>
      </c>
    </row>
    <row r="623" spans="10:11">
      <c r="J623" s="1">
        <v>621</v>
      </c>
      <c r="K623" s="1">
        <f t="shared" si="9"/>
        <v>2.8941276332256253E-9</v>
      </c>
    </row>
    <row r="624" spans="10:11">
      <c r="J624" s="1">
        <v>622</v>
      </c>
      <c r="K624" s="1">
        <f t="shared" si="9"/>
        <v>2.9010002749163831E-9</v>
      </c>
    </row>
    <row r="625" spans="10:11">
      <c r="J625" s="1">
        <v>623</v>
      </c>
      <c r="K625" s="1">
        <f t="shared" si="9"/>
        <v>2.907880042460669E-9</v>
      </c>
    </row>
    <row r="626" spans="10:11">
      <c r="J626" s="1">
        <v>624</v>
      </c>
      <c r="K626" s="1">
        <f t="shared" si="9"/>
        <v>2.9147669358584819E-9</v>
      </c>
    </row>
    <row r="627" spans="10:11">
      <c r="J627" s="1">
        <v>625</v>
      </c>
      <c r="K627" s="1">
        <f t="shared" si="9"/>
        <v>2.9216609551098217E-9</v>
      </c>
    </row>
    <row r="628" spans="10:11">
      <c r="J628" s="1">
        <v>626</v>
      </c>
      <c r="K628" s="1">
        <f t="shared" si="9"/>
        <v>2.9285621002146888E-9</v>
      </c>
    </row>
    <row r="629" spans="10:11">
      <c r="J629" s="1">
        <v>627</v>
      </c>
      <c r="K629" s="1">
        <f t="shared" si="9"/>
        <v>2.9354703711730821E-9</v>
      </c>
    </row>
    <row r="630" spans="10:11">
      <c r="J630" s="1">
        <v>628</v>
      </c>
      <c r="K630" s="1">
        <f t="shared" si="9"/>
        <v>2.9423857679850031E-9</v>
      </c>
    </row>
    <row r="631" spans="10:11">
      <c r="J631" s="1">
        <v>629</v>
      </c>
      <c r="K631" s="1">
        <f t="shared" si="9"/>
        <v>2.9493082906504515E-9</v>
      </c>
    </row>
    <row r="632" spans="10:11">
      <c r="J632" s="1">
        <v>630</v>
      </c>
      <c r="K632" s="1">
        <f t="shared" si="9"/>
        <v>2.9562379391694263E-9</v>
      </c>
    </row>
    <row r="633" spans="10:11">
      <c r="J633" s="1">
        <v>631</v>
      </c>
      <c r="K633" s="1">
        <f t="shared" si="9"/>
        <v>2.9631747135419281E-9</v>
      </c>
    </row>
    <row r="634" spans="10:11">
      <c r="J634" s="1">
        <v>632</v>
      </c>
      <c r="K634" s="1">
        <f t="shared" si="9"/>
        <v>2.9701186137679569E-9</v>
      </c>
    </row>
    <row r="635" spans="10:11">
      <c r="J635" s="1">
        <v>633</v>
      </c>
      <c r="K635" s="1">
        <f t="shared" si="9"/>
        <v>2.9770696398475134E-9</v>
      </c>
    </row>
    <row r="636" spans="10:11">
      <c r="J636" s="1">
        <v>634</v>
      </c>
      <c r="K636" s="1">
        <f t="shared" si="9"/>
        <v>2.9840277917805964E-9</v>
      </c>
    </row>
    <row r="637" spans="10:11">
      <c r="J637" s="1">
        <v>635</v>
      </c>
      <c r="K637" s="1">
        <f t="shared" si="9"/>
        <v>2.9909930695672068E-9</v>
      </c>
    </row>
    <row r="638" spans="10:11">
      <c r="J638" s="1">
        <v>636</v>
      </c>
      <c r="K638" s="1">
        <f t="shared" si="9"/>
        <v>2.997965473207344E-9</v>
      </c>
    </row>
    <row r="639" spans="10:11">
      <c r="J639" s="1">
        <v>637</v>
      </c>
      <c r="K639" s="1">
        <f t="shared" si="9"/>
        <v>3.0049450027010087E-9</v>
      </c>
    </row>
    <row r="640" spans="10:11">
      <c r="J640" s="1">
        <v>638</v>
      </c>
      <c r="K640" s="1">
        <f t="shared" si="9"/>
        <v>3.0119316580481998E-9</v>
      </c>
    </row>
    <row r="641" spans="10:11">
      <c r="J641" s="1">
        <v>639</v>
      </c>
      <c r="K641" s="1">
        <f t="shared" si="9"/>
        <v>3.0189254392489179E-9</v>
      </c>
    </row>
    <row r="642" spans="10:11">
      <c r="J642" s="1">
        <v>640</v>
      </c>
      <c r="K642" s="1">
        <f t="shared" si="9"/>
        <v>3.0259263463031642E-9</v>
      </c>
    </row>
    <row r="643" spans="10:11">
      <c r="J643" s="1">
        <v>641</v>
      </c>
      <c r="K643" s="1">
        <f t="shared" ref="K643:K706" si="10">B$5*B$6*SIN(B$1)*(B$7*(J643+1)+B$8*J643*(J643+1)/2000)/(B$3*1000*B$2)</f>
        <v>3.0329343792109361E-9</v>
      </c>
    </row>
    <row r="644" spans="10:11">
      <c r="J644" s="1">
        <v>642</v>
      </c>
      <c r="K644" s="1">
        <f t="shared" si="10"/>
        <v>3.0399495379722359E-9</v>
      </c>
    </row>
    <row r="645" spans="10:11">
      <c r="J645" s="1">
        <v>643</v>
      </c>
      <c r="K645" s="1">
        <f t="shared" si="10"/>
        <v>3.0469718225870625E-9</v>
      </c>
    </row>
    <row r="646" spans="10:11">
      <c r="J646" s="1">
        <v>644</v>
      </c>
      <c r="K646" s="1">
        <f t="shared" si="10"/>
        <v>3.0540012330554157E-9</v>
      </c>
    </row>
    <row r="647" spans="10:11">
      <c r="J647" s="1">
        <v>645</v>
      </c>
      <c r="K647" s="1">
        <f t="shared" si="10"/>
        <v>3.061037769377297E-9</v>
      </c>
    </row>
    <row r="648" spans="10:11">
      <c r="J648" s="1">
        <v>646</v>
      </c>
      <c r="K648" s="1">
        <f t="shared" si="10"/>
        <v>3.0680814315527048E-9</v>
      </c>
    </row>
    <row r="649" spans="10:11">
      <c r="J649" s="1">
        <v>647</v>
      </c>
      <c r="K649" s="1">
        <f t="shared" si="10"/>
        <v>3.07513221958164E-9</v>
      </c>
    </row>
    <row r="650" spans="10:11">
      <c r="J650" s="1">
        <v>648</v>
      </c>
      <c r="K650" s="1">
        <f t="shared" si="10"/>
        <v>3.0821901334641013E-9</v>
      </c>
    </row>
    <row r="651" spans="10:11">
      <c r="J651" s="1">
        <v>649</v>
      </c>
      <c r="K651" s="1">
        <f t="shared" si="10"/>
        <v>3.0892551732000908E-9</v>
      </c>
    </row>
    <row r="652" spans="10:11">
      <c r="J652" s="1">
        <v>650</v>
      </c>
      <c r="K652" s="1">
        <f t="shared" si="10"/>
        <v>3.0963273387896068E-9</v>
      </c>
    </row>
    <row r="653" spans="10:11">
      <c r="J653" s="1">
        <v>651</v>
      </c>
      <c r="K653" s="1">
        <f t="shared" si="10"/>
        <v>3.1034066302326497E-9</v>
      </c>
    </row>
    <row r="654" spans="10:11">
      <c r="J654" s="1">
        <v>652</v>
      </c>
      <c r="K654" s="1">
        <f t="shared" si="10"/>
        <v>3.1104930475292192E-9</v>
      </c>
    </row>
    <row r="655" spans="10:11">
      <c r="J655" s="1">
        <v>653</v>
      </c>
      <c r="K655" s="1">
        <f t="shared" si="10"/>
        <v>3.117586590679316E-9</v>
      </c>
    </row>
    <row r="656" spans="10:11">
      <c r="J656" s="1">
        <v>654</v>
      </c>
      <c r="K656" s="1">
        <f t="shared" si="10"/>
        <v>3.1246872596829409E-9</v>
      </c>
    </row>
    <row r="657" spans="10:11">
      <c r="J657" s="1">
        <v>655</v>
      </c>
      <c r="K657" s="1">
        <f t="shared" si="10"/>
        <v>3.1317950545400924E-9</v>
      </c>
    </row>
    <row r="658" spans="10:11">
      <c r="J658" s="1">
        <v>656</v>
      </c>
      <c r="K658" s="1">
        <f t="shared" si="10"/>
        <v>3.1389099752507704E-9</v>
      </c>
    </row>
    <row r="659" spans="10:11">
      <c r="J659" s="1">
        <v>657</v>
      </c>
      <c r="K659" s="1">
        <f t="shared" si="10"/>
        <v>3.1460320218149758E-9</v>
      </c>
    </row>
    <row r="660" spans="10:11">
      <c r="J660" s="1">
        <v>658</v>
      </c>
      <c r="K660" s="1">
        <f t="shared" si="10"/>
        <v>3.153161194232708E-9</v>
      </c>
    </row>
    <row r="661" spans="10:11">
      <c r="J661" s="1">
        <v>659</v>
      </c>
      <c r="K661" s="1">
        <f t="shared" si="10"/>
        <v>3.1602974925039677E-9</v>
      </c>
    </row>
    <row r="662" spans="10:11">
      <c r="J662" s="1">
        <v>660</v>
      </c>
      <c r="K662" s="1">
        <f t="shared" si="10"/>
        <v>3.1674409166287542E-9</v>
      </c>
    </row>
    <row r="663" spans="10:11">
      <c r="J663" s="1">
        <v>661</v>
      </c>
      <c r="K663" s="1">
        <f t="shared" si="10"/>
        <v>3.1745914666070673E-9</v>
      </c>
    </row>
    <row r="664" spans="10:11">
      <c r="J664" s="1">
        <v>662</v>
      </c>
      <c r="K664" s="1">
        <f t="shared" si="10"/>
        <v>3.1817491424389077E-9</v>
      </c>
    </row>
    <row r="665" spans="10:11">
      <c r="J665" s="1">
        <v>663</v>
      </c>
      <c r="K665" s="1">
        <f t="shared" si="10"/>
        <v>3.1889139441242755E-9</v>
      </c>
    </row>
    <row r="666" spans="10:11">
      <c r="J666" s="1">
        <v>664</v>
      </c>
      <c r="K666" s="1">
        <f t="shared" si="10"/>
        <v>3.1960858716631702E-9</v>
      </c>
    </row>
    <row r="667" spans="10:11">
      <c r="J667" s="1">
        <v>665</v>
      </c>
      <c r="K667" s="1">
        <f t="shared" si="10"/>
        <v>3.2032649250555922E-9</v>
      </c>
    </row>
    <row r="668" spans="10:11">
      <c r="J668" s="1">
        <v>666</v>
      </c>
      <c r="K668" s="1">
        <f t="shared" si="10"/>
        <v>3.2104511043015403E-9</v>
      </c>
    </row>
    <row r="669" spans="10:11">
      <c r="J669" s="1">
        <v>667</v>
      </c>
      <c r="K669" s="1">
        <f t="shared" si="10"/>
        <v>3.2176444094010167E-9</v>
      </c>
    </row>
    <row r="670" spans="10:11">
      <c r="J670" s="1">
        <v>668</v>
      </c>
      <c r="K670" s="1">
        <f t="shared" si="10"/>
        <v>3.2248448403540187E-9</v>
      </c>
    </row>
    <row r="671" spans="10:11">
      <c r="J671" s="1">
        <v>669</v>
      </c>
      <c r="K671" s="1">
        <f t="shared" si="10"/>
        <v>3.2320523971605489E-9</v>
      </c>
    </row>
    <row r="672" spans="10:11">
      <c r="J672" s="1">
        <v>670</v>
      </c>
      <c r="K672" s="1">
        <f t="shared" si="10"/>
        <v>3.2392670798206064E-9</v>
      </c>
    </row>
    <row r="673" spans="10:11">
      <c r="J673" s="1">
        <v>671</v>
      </c>
      <c r="K673" s="1">
        <f t="shared" si="10"/>
        <v>3.24648888833419E-9</v>
      </c>
    </row>
    <row r="674" spans="10:11">
      <c r="J674" s="1">
        <v>672</v>
      </c>
      <c r="K674" s="1">
        <f t="shared" si="10"/>
        <v>3.253717822701301E-9</v>
      </c>
    </row>
    <row r="675" spans="10:11">
      <c r="J675" s="1">
        <v>673</v>
      </c>
      <c r="K675" s="1">
        <f t="shared" si="10"/>
        <v>3.2609538829219389E-9</v>
      </c>
    </row>
    <row r="676" spans="10:11">
      <c r="J676" s="1">
        <v>674</v>
      </c>
      <c r="K676" s="1">
        <f t="shared" si="10"/>
        <v>3.2681970689961046E-9</v>
      </c>
    </row>
    <row r="677" spans="10:11">
      <c r="J677" s="1">
        <v>675</v>
      </c>
      <c r="K677" s="1">
        <f t="shared" si="10"/>
        <v>3.2754473809237964E-9</v>
      </c>
    </row>
    <row r="678" spans="10:11">
      <c r="J678" s="1">
        <v>676</v>
      </c>
      <c r="K678" s="1">
        <f t="shared" si="10"/>
        <v>3.2827048187050155E-9</v>
      </c>
    </row>
    <row r="679" spans="10:11">
      <c r="J679" s="1">
        <v>677</v>
      </c>
      <c r="K679" s="1">
        <f t="shared" si="10"/>
        <v>3.2899693823397623E-9</v>
      </c>
    </row>
    <row r="680" spans="10:11">
      <c r="J680" s="1">
        <v>678</v>
      </c>
      <c r="K680" s="1">
        <f t="shared" si="10"/>
        <v>3.2972410718280349E-9</v>
      </c>
    </row>
    <row r="681" spans="10:11">
      <c r="J681" s="1">
        <v>679</v>
      </c>
      <c r="K681" s="1">
        <f t="shared" si="10"/>
        <v>3.3045198871698357E-9</v>
      </c>
    </row>
    <row r="682" spans="10:11">
      <c r="J682" s="1">
        <v>680</v>
      </c>
      <c r="K682" s="1">
        <f t="shared" si="10"/>
        <v>3.3118058283651633E-9</v>
      </c>
    </row>
    <row r="683" spans="10:11">
      <c r="J683" s="1">
        <v>681</v>
      </c>
      <c r="K683" s="1">
        <f t="shared" si="10"/>
        <v>3.3190988954140184E-9</v>
      </c>
    </row>
    <row r="684" spans="10:11">
      <c r="J684" s="1">
        <v>682</v>
      </c>
      <c r="K684" s="1">
        <f t="shared" si="10"/>
        <v>3.3263990883163991E-9</v>
      </c>
    </row>
    <row r="685" spans="10:11">
      <c r="J685" s="1">
        <v>683</v>
      </c>
      <c r="K685" s="1">
        <f t="shared" si="10"/>
        <v>3.3337064070723071E-9</v>
      </c>
    </row>
    <row r="686" spans="10:11">
      <c r="J686" s="1">
        <v>684</v>
      </c>
      <c r="K686" s="1">
        <f t="shared" si="10"/>
        <v>3.3410208516817438E-9</v>
      </c>
    </row>
    <row r="687" spans="10:11">
      <c r="J687" s="1">
        <v>685</v>
      </c>
      <c r="K687" s="1">
        <f t="shared" si="10"/>
        <v>3.3483424221447057E-9</v>
      </c>
    </row>
    <row r="688" spans="10:11">
      <c r="J688" s="1">
        <v>686</v>
      </c>
      <c r="K688" s="1">
        <f t="shared" si="10"/>
        <v>3.3556711184611958E-9</v>
      </c>
    </row>
    <row r="689" spans="10:11">
      <c r="J689" s="1">
        <v>687</v>
      </c>
      <c r="K689" s="1">
        <f t="shared" si="10"/>
        <v>3.3630069406312124E-9</v>
      </c>
    </row>
    <row r="690" spans="10:11">
      <c r="J690" s="1">
        <v>688</v>
      </c>
      <c r="K690" s="1">
        <f t="shared" si="10"/>
        <v>3.3703498886547568E-9</v>
      </c>
    </row>
    <row r="691" spans="10:11">
      <c r="J691" s="1">
        <v>689</v>
      </c>
      <c r="K691" s="1">
        <f t="shared" si="10"/>
        <v>3.3776999625318272E-9</v>
      </c>
    </row>
    <row r="692" spans="10:11">
      <c r="J692" s="1">
        <v>690</v>
      </c>
      <c r="K692" s="1">
        <f t="shared" si="10"/>
        <v>3.3850571622624251E-9</v>
      </c>
    </row>
    <row r="693" spans="10:11">
      <c r="J693" s="1">
        <v>691</v>
      </c>
      <c r="K693" s="1">
        <f t="shared" si="10"/>
        <v>3.3924214878465498E-9</v>
      </c>
    </row>
    <row r="694" spans="10:11">
      <c r="J694" s="1">
        <v>692</v>
      </c>
      <c r="K694" s="1">
        <f t="shared" si="10"/>
        <v>3.3997929392842019E-9</v>
      </c>
    </row>
    <row r="695" spans="10:11">
      <c r="J695" s="1">
        <v>693</v>
      </c>
      <c r="K695" s="1">
        <f t="shared" si="10"/>
        <v>3.4071715165753814E-9</v>
      </c>
    </row>
    <row r="696" spans="10:11">
      <c r="J696" s="1">
        <v>694</v>
      </c>
      <c r="K696" s="1">
        <f t="shared" si="10"/>
        <v>3.4145572197200877E-9</v>
      </c>
    </row>
    <row r="697" spans="10:11">
      <c r="J697" s="1">
        <v>695</v>
      </c>
      <c r="K697" s="1">
        <f t="shared" si="10"/>
        <v>3.4219500487183202E-9</v>
      </c>
    </row>
    <row r="698" spans="10:11">
      <c r="J698" s="1">
        <v>696</v>
      </c>
      <c r="K698" s="1">
        <f t="shared" si="10"/>
        <v>3.4293500035700813E-9</v>
      </c>
    </row>
    <row r="699" spans="10:11">
      <c r="J699" s="1">
        <v>697</v>
      </c>
      <c r="K699" s="1">
        <f t="shared" si="10"/>
        <v>3.4367570842753676E-9</v>
      </c>
    </row>
    <row r="700" spans="10:11">
      <c r="J700" s="1">
        <v>698</v>
      </c>
      <c r="K700" s="1">
        <f t="shared" si="10"/>
        <v>3.4441712908341821E-9</v>
      </c>
    </row>
    <row r="701" spans="10:11">
      <c r="J701" s="1">
        <v>699</v>
      </c>
      <c r="K701" s="1">
        <f t="shared" si="10"/>
        <v>3.4515926232465232E-9</v>
      </c>
    </row>
    <row r="702" spans="10:11">
      <c r="J702" s="1">
        <v>700</v>
      </c>
      <c r="K702" s="1">
        <f t="shared" si="10"/>
        <v>3.4590210815123924E-9</v>
      </c>
    </row>
    <row r="703" spans="10:11">
      <c r="J703" s="1">
        <v>701</v>
      </c>
      <c r="K703" s="1">
        <f t="shared" si="10"/>
        <v>3.4664566656317877E-9</v>
      </c>
    </row>
    <row r="704" spans="10:11">
      <c r="J704" s="1">
        <v>702</v>
      </c>
      <c r="K704" s="1">
        <f t="shared" si="10"/>
        <v>3.4738993756047095E-9</v>
      </c>
    </row>
    <row r="705" spans="10:11">
      <c r="J705" s="1">
        <v>703</v>
      </c>
      <c r="K705" s="1">
        <f t="shared" si="10"/>
        <v>3.4813492114311591E-9</v>
      </c>
    </row>
    <row r="706" spans="10:11">
      <c r="J706" s="1">
        <v>704</v>
      </c>
      <c r="K706" s="1">
        <f t="shared" si="10"/>
        <v>3.4888061731111365E-9</v>
      </c>
    </row>
    <row r="707" spans="10:11">
      <c r="J707" s="1">
        <v>705</v>
      </c>
      <c r="K707" s="1">
        <f t="shared" ref="K707:K770" si="11">B$5*B$6*SIN(B$1)*(B$7*(J707+1)+B$8*J707*(J707+1)/2000)/(B$3*1000*B$2)</f>
        <v>3.4962702606446399E-9</v>
      </c>
    </row>
    <row r="708" spans="10:11">
      <c r="J708" s="1">
        <v>706</v>
      </c>
      <c r="K708" s="1">
        <f t="shared" si="11"/>
        <v>3.5037414740316703E-9</v>
      </c>
    </row>
    <row r="709" spans="10:11">
      <c r="J709" s="1">
        <v>707</v>
      </c>
      <c r="K709" s="1">
        <f t="shared" si="11"/>
        <v>3.5112198132722285E-9</v>
      </c>
    </row>
    <row r="710" spans="10:11">
      <c r="J710" s="1">
        <v>708</v>
      </c>
      <c r="K710" s="1">
        <f t="shared" si="11"/>
        <v>3.5187052783663127E-9</v>
      </c>
    </row>
    <row r="711" spans="10:11">
      <c r="J711" s="1">
        <v>709</v>
      </c>
      <c r="K711" s="1">
        <f t="shared" si="11"/>
        <v>3.5261978693139247E-9</v>
      </c>
    </row>
    <row r="712" spans="10:11">
      <c r="J712" s="1">
        <v>710</v>
      </c>
      <c r="K712" s="1">
        <f t="shared" si="11"/>
        <v>3.5336975861150637E-9</v>
      </c>
    </row>
    <row r="713" spans="10:11">
      <c r="J713" s="1">
        <v>711</v>
      </c>
      <c r="K713" s="1">
        <f t="shared" si="11"/>
        <v>3.5412044287697295E-9</v>
      </c>
    </row>
    <row r="714" spans="10:11">
      <c r="J714" s="1">
        <v>712</v>
      </c>
      <c r="K714" s="1">
        <f t="shared" si="11"/>
        <v>3.5487183972779223E-9</v>
      </c>
    </row>
    <row r="715" spans="10:11">
      <c r="J715" s="1">
        <v>713</v>
      </c>
      <c r="K715" s="1">
        <f t="shared" si="11"/>
        <v>3.5562394916396429E-9</v>
      </c>
    </row>
    <row r="716" spans="10:11">
      <c r="J716" s="1">
        <v>714</v>
      </c>
      <c r="K716" s="1">
        <f t="shared" si="11"/>
        <v>3.5637677118548896E-9</v>
      </c>
    </row>
    <row r="717" spans="10:11">
      <c r="J717" s="1">
        <v>715</v>
      </c>
      <c r="K717" s="1">
        <f t="shared" si="11"/>
        <v>3.571303057923664E-9</v>
      </c>
    </row>
    <row r="718" spans="10:11">
      <c r="J718" s="1">
        <v>716</v>
      </c>
      <c r="K718" s="1">
        <f t="shared" si="11"/>
        <v>3.5788455298459654E-9</v>
      </c>
    </row>
    <row r="719" spans="10:11">
      <c r="J719" s="1">
        <v>717</v>
      </c>
      <c r="K719" s="1">
        <f t="shared" si="11"/>
        <v>3.5863951276217937E-9</v>
      </c>
    </row>
    <row r="720" spans="10:11">
      <c r="J720" s="1">
        <v>718</v>
      </c>
      <c r="K720" s="1">
        <f t="shared" si="11"/>
        <v>3.5939518512511489E-9</v>
      </c>
    </row>
    <row r="721" spans="10:11">
      <c r="J721" s="1">
        <v>719</v>
      </c>
      <c r="K721" s="1">
        <f t="shared" si="11"/>
        <v>3.601515700734031E-9</v>
      </c>
    </row>
    <row r="722" spans="10:11">
      <c r="J722" s="1">
        <v>720</v>
      </c>
      <c r="K722" s="1">
        <f t="shared" si="11"/>
        <v>3.6090866760704401E-9</v>
      </c>
    </row>
    <row r="723" spans="10:11">
      <c r="J723" s="1">
        <v>721</v>
      </c>
      <c r="K723" s="1">
        <f t="shared" si="11"/>
        <v>3.616664777260377E-9</v>
      </c>
    </row>
    <row r="724" spans="10:11">
      <c r="J724" s="1">
        <v>722</v>
      </c>
      <c r="K724" s="1">
        <f t="shared" si="11"/>
        <v>3.6242500043038399E-9</v>
      </c>
    </row>
    <row r="725" spans="10:11">
      <c r="J725" s="1">
        <v>723</v>
      </c>
      <c r="K725" s="1">
        <f t="shared" si="11"/>
        <v>3.6318423572008306E-9</v>
      </c>
    </row>
    <row r="726" spans="10:11">
      <c r="J726" s="1">
        <v>724</v>
      </c>
      <c r="K726" s="1">
        <f t="shared" si="11"/>
        <v>3.6394418359513487E-9</v>
      </c>
    </row>
    <row r="727" spans="10:11">
      <c r="J727" s="1">
        <v>725</v>
      </c>
      <c r="K727" s="1">
        <f t="shared" si="11"/>
        <v>3.6470484405553924E-9</v>
      </c>
    </row>
    <row r="728" spans="10:11">
      <c r="J728" s="1">
        <v>726</v>
      </c>
      <c r="K728" s="1">
        <f t="shared" si="11"/>
        <v>3.6546621710129648E-9</v>
      </c>
    </row>
    <row r="729" spans="10:11">
      <c r="J729" s="1">
        <v>727</v>
      </c>
      <c r="K729" s="1">
        <f t="shared" si="11"/>
        <v>3.6622830273240632E-9</v>
      </c>
    </row>
    <row r="730" spans="10:11">
      <c r="J730" s="1">
        <v>728</v>
      </c>
      <c r="K730" s="1">
        <f t="shared" si="11"/>
        <v>3.6699110094886886E-9</v>
      </c>
    </row>
    <row r="731" spans="10:11">
      <c r="J731" s="1">
        <v>729</v>
      </c>
      <c r="K731" s="1">
        <f t="shared" si="11"/>
        <v>3.6775461175068421E-9</v>
      </c>
    </row>
    <row r="732" spans="10:11">
      <c r="J732" s="1">
        <v>730</v>
      </c>
      <c r="K732" s="1">
        <f t="shared" si="11"/>
        <v>3.6851883513785218E-9</v>
      </c>
    </row>
    <row r="733" spans="10:11">
      <c r="J733" s="1">
        <v>731</v>
      </c>
      <c r="K733" s="1">
        <f t="shared" si="11"/>
        <v>3.6928377111037284E-9</v>
      </c>
    </row>
    <row r="734" spans="10:11">
      <c r="J734" s="1">
        <v>732</v>
      </c>
      <c r="K734" s="1">
        <f t="shared" si="11"/>
        <v>3.7004941966824623E-9</v>
      </c>
    </row>
    <row r="735" spans="10:11">
      <c r="J735" s="1">
        <v>733</v>
      </c>
      <c r="K735" s="1">
        <f t="shared" si="11"/>
        <v>3.7081578081147231E-9</v>
      </c>
    </row>
    <row r="736" spans="10:11">
      <c r="J736" s="1">
        <v>734</v>
      </c>
      <c r="K736" s="1">
        <f t="shared" si="11"/>
        <v>3.7158285454005118E-9</v>
      </c>
    </row>
    <row r="737" spans="10:11">
      <c r="J737" s="1">
        <v>735</v>
      </c>
      <c r="K737" s="1">
        <f t="shared" si="11"/>
        <v>3.7235064085398265E-9</v>
      </c>
    </row>
    <row r="738" spans="10:11">
      <c r="J738" s="1">
        <v>736</v>
      </c>
      <c r="K738" s="1">
        <f t="shared" si="11"/>
        <v>3.7311913975326686E-9</v>
      </c>
    </row>
    <row r="739" spans="10:11">
      <c r="J739" s="1">
        <v>737</v>
      </c>
      <c r="K739" s="1">
        <f t="shared" si="11"/>
        <v>3.738883512379038E-9</v>
      </c>
    </row>
    <row r="740" spans="10:11">
      <c r="J740" s="1">
        <v>738</v>
      </c>
      <c r="K740" s="1">
        <f t="shared" si="11"/>
        <v>3.7465827530789339E-9</v>
      </c>
    </row>
    <row r="741" spans="10:11">
      <c r="J741" s="1">
        <v>739</v>
      </c>
      <c r="K741" s="1">
        <f t="shared" si="11"/>
        <v>3.7542891196323572E-9</v>
      </c>
    </row>
    <row r="742" spans="10:11">
      <c r="J742" s="1">
        <v>740</v>
      </c>
      <c r="K742" s="1">
        <f t="shared" si="11"/>
        <v>3.7620026120393078E-9</v>
      </c>
    </row>
    <row r="743" spans="10:11">
      <c r="J743" s="1">
        <v>741</v>
      </c>
      <c r="K743" s="1">
        <f t="shared" si="11"/>
        <v>3.7697232302997849E-9</v>
      </c>
    </row>
    <row r="744" spans="10:11">
      <c r="J744" s="1">
        <v>742</v>
      </c>
      <c r="K744" s="1">
        <f t="shared" si="11"/>
        <v>3.7774509744137894E-9</v>
      </c>
    </row>
    <row r="745" spans="10:11">
      <c r="J745" s="1">
        <v>743</v>
      </c>
      <c r="K745" s="1">
        <f t="shared" si="11"/>
        <v>3.7851858443813213E-9</v>
      </c>
    </row>
    <row r="746" spans="10:11">
      <c r="J746" s="1">
        <v>744</v>
      </c>
      <c r="K746" s="1">
        <f t="shared" si="11"/>
        <v>3.7929278402023804E-9</v>
      </c>
    </row>
    <row r="747" spans="10:11">
      <c r="J747" s="1">
        <v>745</v>
      </c>
      <c r="K747" s="1">
        <f t="shared" si="11"/>
        <v>3.8006769618769653E-9</v>
      </c>
    </row>
    <row r="748" spans="10:11">
      <c r="J748" s="1">
        <v>746</v>
      </c>
      <c r="K748" s="1">
        <f t="shared" si="11"/>
        <v>3.8084332094050783E-9</v>
      </c>
    </row>
    <row r="749" spans="10:11">
      <c r="J749" s="1">
        <v>747</v>
      </c>
      <c r="K749" s="1">
        <f t="shared" si="11"/>
        <v>3.8161965827867171E-9</v>
      </c>
    </row>
    <row r="750" spans="10:11">
      <c r="J750" s="1">
        <v>748</v>
      </c>
      <c r="K750" s="1">
        <f t="shared" si="11"/>
        <v>3.823967082021884E-9</v>
      </c>
    </row>
    <row r="751" spans="10:11">
      <c r="J751" s="1">
        <v>749</v>
      </c>
      <c r="K751" s="1">
        <f t="shared" si="11"/>
        <v>3.8317447071105782E-9</v>
      </c>
    </row>
    <row r="752" spans="10:11">
      <c r="J752" s="1">
        <v>750</v>
      </c>
      <c r="K752" s="1">
        <f t="shared" si="11"/>
        <v>3.839529458052799E-9</v>
      </c>
    </row>
    <row r="753" spans="10:11">
      <c r="J753" s="1">
        <v>751</v>
      </c>
      <c r="K753" s="1">
        <f t="shared" si="11"/>
        <v>3.8473213348485463E-9</v>
      </c>
    </row>
    <row r="754" spans="10:11">
      <c r="J754" s="1">
        <v>752</v>
      </c>
      <c r="K754" s="1">
        <f t="shared" si="11"/>
        <v>3.8551203374978217E-9</v>
      </c>
    </row>
    <row r="755" spans="10:11">
      <c r="J755" s="1">
        <v>753</v>
      </c>
      <c r="K755" s="1">
        <f t="shared" si="11"/>
        <v>3.8629264660006237E-9</v>
      </c>
    </row>
    <row r="756" spans="10:11">
      <c r="J756" s="1">
        <v>754</v>
      </c>
      <c r="K756" s="1">
        <f t="shared" si="11"/>
        <v>3.8707397203569531E-9</v>
      </c>
    </row>
    <row r="757" spans="10:11">
      <c r="J757" s="1">
        <v>755</v>
      </c>
      <c r="K757" s="1">
        <f t="shared" si="11"/>
        <v>3.8785601005668089E-9</v>
      </c>
    </row>
    <row r="758" spans="10:11">
      <c r="J758" s="1">
        <v>756</v>
      </c>
      <c r="K758" s="1">
        <f t="shared" si="11"/>
        <v>3.8863876066301921E-9</v>
      </c>
    </row>
    <row r="759" spans="10:11">
      <c r="J759" s="1">
        <v>757</v>
      </c>
      <c r="K759" s="1">
        <f t="shared" si="11"/>
        <v>3.8942222385471018E-9</v>
      </c>
    </row>
    <row r="760" spans="10:11">
      <c r="J760" s="1">
        <v>758</v>
      </c>
      <c r="K760" s="1">
        <f t="shared" si="11"/>
        <v>3.9020639963175397E-9</v>
      </c>
    </row>
    <row r="761" spans="10:11">
      <c r="J761" s="1">
        <v>759</v>
      </c>
      <c r="K761" s="1">
        <f t="shared" si="11"/>
        <v>3.9099128799415032E-9</v>
      </c>
    </row>
    <row r="762" spans="10:11">
      <c r="J762" s="1">
        <v>760</v>
      </c>
      <c r="K762" s="1">
        <f t="shared" si="11"/>
        <v>3.9177688894189958E-9</v>
      </c>
    </row>
    <row r="763" spans="10:11">
      <c r="J763" s="1">
        <v>761</v>
      </c>
      <c r="K763" s="1">
        <f t="shared" si="11"/>
        <v>3.9256320247500132E-9</v>
      </c>
    </row>
    <row r="764" spans="10:11">
      <c r="J764" s="1">
        <v>762</v>
      </c>
      <c r="K764" s="1">
        <f t="shared" si="11"/>
        <v>3.9335022859345588E-9</v>
      </c>
    </row>
    <row r="765" spans="10:11">
      <c r="J765" s="1">
        <v>763</v>
      </c>
      <c r="K765" s="1">
        <f t="shared" si="11"/>
        <v>3.941379672972631E-9</v>
      </c>
    </row>
    <row r="766" spans="10:11">
      <c r="J766" s="1">
        <v>764</v>
      </c>
      <c r="K766" s="1">
        <f t="shared" si="11"/>
        <v>3.9492641858642313E-9</v>
      </c>
    </row>
    <row r="767" spans="10:11">
      <c r="J767" s="1">
        <v>765</v>
      </c>
      <c r="K767" s="1">
        <f t="shared" si="11"/>
        <v>3.9571558246093573E-9</v>
      </c>
    </row>
    <row r="768" spans="10:11">
      <c r="J768" s="1">
        <v>766</v>
      </c>
      <c r="K768" s="1">
        <f t="shared" si="11"/>
        <v>3.9650545892080114E-9</v>
      </c>
    </row>
    <row r="769" spans="10:11">
      <c r="J769" s="1">
        <v>767</v>
      </c>
      <c r="K769" s="1">
        <f t="shared" si="11"/>
        <v>3.9729604796601913E-9</v>
      </c>
    </row>
    <row r="770" spans="10:11">
      <c r="J770" s="1">
        <v>768</v>
      </c>
      <c r="K770" s="1">
        <f t="shared" si="11"/>
        <v>3.9808734959658993E-9</v>
      </c>
    </row>
    <row r="771" spans="10:11">
      <c r="J771" s="1">
        <v>769</v>
      </c>
      <c r="K771" s="1">
        <f t="shared" ref="K771:K834" si="12">B$5*B$6*SIN(B$1)*(B$7*(J771+1)+B$8*J771*(J771+1)/2000)/(B$3*1000*B$2)</f>
        <v>3.9887936381251338E-9</v>
      </c>
    </row>
    <row r="772" spans="10:11">
      <c r="J772" s="1">
        <v>770</v>
      </c>
      <c r="K772" s="1">
        <f t="shared" si="12"/>
        <v>3.9967209061378957E-9</v>
      </c>
    </row>
    <row r="773" spans="10:11">
      <c r="J773" s="1">
        <v>771</v>
      </c>
      <c r="K773" s="1">
        <f t="shared" si="12"/>
        <v>4.0046553000041858E-9</v>
      </c>
    </row>
    <row r="774" spans="10:11">
      <c r="J774" s="1">
        <v>772</v>
      </c>
      <c r="K774" s="1">
        <f t="shared" si="12"/>
        <v>4.0125968197240007E-9</v>
      </c>
    </row>
    <row r="775" spans="10:11">
      <c r="J775" s="1">
        <v>773</v>
      </c>
      <c r="K775" s="1">
        <f t="shared" si="12"/>
        <v>4.020545465297343E-9</v>
      </c>
    </row>
    <row r="776" spans="10:11">
      <c r="J776" s="1">
        <v>774</v>
      </c>
      <c r="K776" s="1">
        <f t="shared" si="12"/>
        <v>4.0285012367242126E-9</v>
      </c>
    </row>
    <row r="777" spans="10:11">
      <c r="J777" s="1">
        <v>775</v>
      </c>
      <c r="K777" s="1">
        <f t="shared" si="12"/>
        <v>4.0364641340046112E-9</v>
      </c>
    </row>
    <row r="778" spans="10:11">
      <c r="J778" s="1">
        <v>776</v>
      </c>
      <c r="K778" s="1">
        <f t="shared" si="12"/>
        <v>4.0444341571385347E-9</v>
      </c>
    </row>
    <row r="779" spans="10:11">
      <c r="J779" s="1">
        <v>777</v>
      </c>
      <c r="K779" s="1">
        <f t="shared" si="12"/>
        <v>4.0524113061259855E-9</v>
      </c>
    </row>
    <row r="780" spans="10:11">
      <c r="J780" s="1">
        <v>778</v>
      </c>
      <c r="K780" s="1">
        <f t="shared" si="12"/>
        <v>4.0603955809669637E-9</v>
      </c>
    </row>
    <row r="781" spans="10:11">
      <c r="J781" s="1">
        <v>779</v>
      </c>
      <c r="K781" s="1">
        <f t="shared" si="12"/>
        <v>4.0683869816614692E-9</v>
      </c>
    </row>
    <row r="782" spans="10:11">
      <c r="J782" s="1">
        <v>780</v>
      </c>
      <c r="K782" s="1">
        <f t="shared" si="12"/>
        <v>4.0763855082095013E-9</v>
      </c>
    </row>
    <row r="783" spans="10:11">
      <c r="J783" s="1">
        <v>781</v>
      </c>
      <c r="K783" s="1">
        <f t="shared" si="12"/>
        <v>4.0843911606110606E-9</v>
      </c>
    </row>
    <row r="784" spans="10:11">
      <c r="J784" s="1">
        <v>782</v>
      </c>
      <c r="K784" s="1">
        <f t="shared" si="12"/>
        <v>4.0924039388661474E-9</v>
      </c>
    </row>
    <row r="785" spans="10:11">
      <c r="J785" s="1">
        <v>783</v>
      </c>
      <c r="K785" s="1">
        <f t="shared" si="12"/>
        <v>4.1004238429747598E-9</v>
      </c>
    </row>
    <row r="786" spans="10:11">
      <c r="J786" s="1">
        <v>784</v>
      </c>
      <c r="K786" s="1">
        <f t="shared" si="12"/>
        <v>4.1084508729369012E-9</v>
      </c>
    </row>
    <row r="787" spans="10:11">
      <c r="J787" s="1">
        <v>785</v>
      </c>
      <c r="K787" s="1">
        <f t="shared" si="12"/>
        <v>4.1164850287525675E-9</v>
      </c>
    </row>
    <row r="788" spans="10:11">
      <c r="J788" s="1">
        <v>786</v>
      </c>
      <c r="K788" s="1">
        <f t="shared" si="12"/>
        <v>4.1245263104217636E-9</v>
      </c>
    </row>
    <row r="789" spans="10:11">
      <c r="J789" s="1">
        <v>787</v>
      </c>
      <c r="K789" s="1">
        <f t="shared" si="12"/>
        <v>4.1325747179444854E-9</v>
      </c>
    </row>
    <row r="790" spans="10:11">
      <c r="J790" s="1">
        <v>788</v>
      </c>
      <c r="K790" s="1">
        <f t="shared" si="12"/>
        <v>4.1406302513207329E-9</v>
      </c>
    </row>
    <row r="791" spans="10:11">
      <c r="J791" s="1">
        <v>789</v>
      </c>
      <c r="K791" s="1">
        <f t="shared" si="12"/>
        <v>4.1486929105505094E-9</v>
      </c>
    </row>
    <row r="792" spans="10:11">
      <c r="J792" s="1">
        <v>790</v>
      </c>
      <c r="K792" s="1">
        <f t="shared" si="12"/>
        <v>4.1567626956338124E-9</v>
      </c>
    </row>
    <row r="793" spans="10:11">
      <c r="J793" s="1">
        <v>791</v>
      </c>
      <c r="K793" s="1">
        <f t="shared" si="12"/>
        <v>4.1648396065706419E-9</v>
      </c>
    </row>
    <row r="794" spans="10:11">
      <c r="J794" s="1">
        <v>792</v>
      </c>
      <c r="K794" s="1">
        <f t="shared" si="12"/>
        <v>4.1729236433609988E-9</v>
      </c>
    </row>
    <row r="795" spans="10:11">
      <c r="J795" s="1">
        <v>793</v>
      </c>
      <c r="K795" s="1">
        <f t="shared" si="12"/>
        <v>4.1810148060048822E-9</v>
      </c>
    </row>
    <row r="796" spans="10:11">
      <c r="J796" s="1">
        <v>794</v>
      </c>
      <c r="K796" s="1">
        <f t="shared" si="12"/>
        <v>4.1891130945022929E-9</v>
      </c>
    </row>
    <row r="797" spans="10:11">
      <c r="J797" s="1">
        <v>795</v>
      </c>
      <c r="K797" s="1">
        <f t="shared" si="12"/>
        <v>4.197218508853231E-9</v>
      </c>
    </row>
    <row r="798" spans="10:11">
      <c r="J798" s="1">
        <v>796</v>
      </c>
      <c r="K798" s="1">
        <f t="shared" si="12"/>
        <v>4.2053310490576973E-9</v>
      </c>
    </row>
    <row r="799" spans="10:11">
      <c r="J799" s="1">
        <v>797</v>
      </c>
      <c r="K799" s="1">
        <f t="shared" si="12"/>
        <v>4.2134507151156884E-9</v>
      </c>
    </row>
    <row r="800" spans="10:11">
      <c r="J800" s="1">
        <v>798</v>
      </c>
      <c r="K800" s="1">
        <f t="shared" si="12"/>
        <v>4.2215775070272077E-9</v>
      </c>
    </row>
    <row r="801" spans="10:11">
      <c r="J801" s="1">
        <v>799</v>
      </c>
      <c r="K801" s="1">
        <f t="shared" si="12"/>
        <v>4.2297114247922543E-9</v>
      </c>
    </row>
    <row r="802" spans="10:11">
      <c r="J802" s="1">
        <v>800</v>
      </c>
      <c r="K802" s="1">
        <f t="shared" si="12"/>
        <v>4.2378524684108275E-9</v>
      </c>
    </row>
    <row r="803" spans="10:11">
      <c r="J803" s="1">
        <v>801</v>
      </c>
      <c r="K803" s="1">
        <f t="shared" si="12"/>
        <v>4.246000637882928E-9</v>
      </c>
    </row>
    <row r="804" spans="10:11">
      <c r="J804" s="1">
        <v>802</v>
      </c>
      <c r="K804" s="1">
        <f t="shared" si="12"/>
        <v>4.254155933208555E-9</v>
      </c>
    </row>
    <row r="805" spans="10:11">
      <c r="J805" s="1">
        <v>803</v>
      </c>
      <c r="K805" s="1">
        <f t="shared" si="12"/>
        <v>4.2623183543877094E-9</v>
      </c>
    </row>
    <row r="806" spans="10:11">
      <c r="J806" s="1">
        <v>804</v>
      </c>
      <c r="K806" s="1">
        <f t="shared" si="12"/>
        <v>4.2704879014203911E-9</v>
      </c>
    </row>
    <row r="807" spans="10:11">
      <c r="J807" s="1">
        <v>805</v>
      </c>
      <c r="K807" s="1">
        <f t="shared" si="12"/>
        <v>4.2786645743065985E-9</v>
      </c>
    </row>
    <row r="808" spans="10:11">
      <c r="J808" s="1">
        <v>806</v>
      </c>
      <c r="K808" s="1">
        <f t="shared" si="12"/>
        <v>4.2868483730463357E-9</v>
      </c>
    </row>
    <row r="809" spans="10:11">
      <c r="J809" s="1">
        <v>807</v>
      </c>
      <c r="K809" s="1">
        <f t="shared" si="12"/>
        <v>4.295039297639597E-9</v>
      </c>
    </row>
    <row r="810" spans="10:11">
      <c r="J810" s="1">
        <v>808</v>
      </c>
      <c r="K810" s="1">
        <f t="shared" si="12"/>
        <v>4.3032373480863872E-9</v>
      </c>
    </row>
    <row r="811" spans="10:11">
      <c r="J811" s="1">
        <v>809</v>
      </c>
      <c r="K811" s="1">
        <f t="shared" si="12"/>
        <v>4.311442524386704E-9</v>
      </c>
    </row>
    <row r="812" spans="10:11">
      <c r="J812" s="1">
        <v>810</v>
      </c>
      <c r="K812" s="1">
        <f t="shared" si="12"/>
        <v>4.3196548265405473E-9</v>
      </c>
    </row>
    <row r="813" spans="10:11">
      <c r="J813" s="1">
        <v>811</v>
      </c>
      <c r="K813" s="1">
        <f t="shared" si="12"/>
        <v>4.327874254547918E-9</v>
      </c>
    </row>
    <row r="814" spans="10:11">
      <c r="J814" s="1">
        <v>812</v>
      </c>
      <c r="K814" s="1">
        <f t="shared" si="12"/>
        <v>4.336100808408816E-9</v>
      </c>
    </row>
    <row r="815" spans="10:11">
      <c r="J815" s="1">
        <v>813</v>
      </c>
      <c r="K815" s="1">
        <f t="shared" si="12"/>
        <v>4.3443344881232405E-9</v>
      </c>
    </row>
    <row r="816" spans="10:11">
      <c r="J816" s="1">
        <v>814</v>
      </c>
      <c r="K816" s="1">
        <f t="shared" si="12"/>
        <v>4.3525752936911932E-9</v>
      </c>
    </row>
    <row r="817" spans="10:11">
      <c r="J817" s="1">
        <v>815</v>
      </c>
      <c r="K817" s="1">
        <f t="shared" si="12"/>
        <v>4.3608232251126724E-9</v>
      </c>
    </row>
    <row r="818" spans="10:11">
      <c r="J818" s="1">
        <v>816</v>
      </c>
      <c r="K818" s="1">
        <f t="shared" si="12"/>
        <v>4.3690782823876781E-9</v>
      </c>
    </row>
    <row r="819" spans="10:11">
      <c r="J819" s="1">
        <v>817</v>
      </c>
      <c r="K819" s="1">
        <f t="shared" si="12"/>
        <v>4.3773404655162112E-9</v>
      </c>
    </row>
    <row r="820" spans="10:11">
      <c r="J820" s="1">
        <v>818</v>
      </c>
      <c r="K820" s="1">
        <f t="shared" si="12"/>
        <v>4.3856097744982716E-9</v>
      </c>
    </row>
    <row r="821" spans="10:11">
      <c r="J821" s="1">
        <v>819</v>
      </c>
      <c r="K821" s="1">
        <f t="shared" si="12"/>
        <v>4.3938862093338577E-9</v>
      </c>
    </row>
    <row r="822" spans="10:11">
      <c r="J822" s="1">
        <v>820</v>
      </c>
      <c r="K822" s="1">
        <f t="shared" si="12"/>
        <v>4.4021697700229728E-9</v>
      </c>
    </row>
    <row r="823" spans="10:11">
      <c r="J823" s="1">
        <v>821</v>
      </c>
      <c r="K823" s="1">
        <f t="shared" si="12"/>
        <v>4.4104604565656144E-9</v>
      </c>
    </row>
    <row r="824" spans="10:11">
      <c r="J824" s="1">
        <v>822</v>
      </c>
      <c r="K824" s="1">
        <f t="shared" si="12"/>
        <v>4.4187582689617826E-9</v>
      </c>
    </row>
    <row r="825" spans="10:11">
      <c r="J825" s="1">
        <v>823</v>
      </c>
      <c r="K825" s="1">
        <f t="shared" si="12"/>
        <v>4.4270632072114772E-9</v>
      </c>
    </row>
    <row r="826" spans="10:11">
      <c r="J826" s="1">
        <v>824</v>
      </c>
      <c r="K826" s="1">
        <f t="shared" si="12"/>
        <v>4.4353752713147009E-9</v>
      </c>
    </row>
    <row r="827" spans="10:11">
      <c r="J827" s="1">
        <v>825</v>
      </c>
      <c r="K827" s="1">
        <f t="shared" si="12"/>
        <v>4.4436944612714494E-9</v>
      </c>
    </row>
    <row r="828" spans="10:11">
      <c r="J828" s="1">
        <v>826</v>
      </c>
      <c r="K828" s="1">
        <f t="shared" si="12"/>
        <v>4.4520207770817261E-9</v>
      </c>
    </row>
    <row r="829" spans="10:11">
      <c r="J829" s="1">
        <v>827</v>
      </c>
      <c r="K829" s="1">
        <f t="shared" si="12"/>
        <v>4.4603542187455285E-9</v>
      </c>
    </row>
    <row r="830" spans="10:11">
      <c r="J830" s="1">
        <v>828</v>
      </c>
      <c r="K830" s="1">
        <f t="shared" si="12"/>
        <v>4.4686947862628607E-9</v>
      </c>
    </row>
    <row r="831" spans="10:11">
      <c r="J831" s="1">
        <v>829</v>
      </c>
      <c r="K831" s="1">
        <f t="shared" si="12"/>
        <v>4.4770424796337178E-9</v>
      </c>
    </row>
    <row r="832" spans="10:11">
      <c r="J832" s="1">
        <v>830</v>
      </c>
      <c r="K832" s="1">
        <f t="shared" si="12"/>
        <v>4.485397298858103E-9</v>
      </c>
    </row>
    <row r="833" spans="10:11">
      <c r="J833" s="1">
        <v>831</v>
      </c>
      <c r="K833" s="1">
        <f t="shared" si="12"/>
        <v>4.493759243936014E-9</v>
      </c>
    </row>
    <row r="834" spans="10:11">
      <c r="J834" s="1">
        <v>832</v>
      </c>
      <c r="K834" s="1">
        <f t="shared" si="12"/>
        <v>4.5021283148674531E-9</v>
      </c>
    </row>
    <row r="835" spans="10:11">
      <c r="J835" s="1">
        <v>833</v>
      </c>
      <c r="K835" s="1">
        <f t="shared" ref="K835:K898" si="13">B$5*B$6*SIN(B$1)*(B$7*(J835+1)+B$8*J835*(J835+1)/2000)/(B$3*1000*B$2)</f>
        <v>4.5105045116524195E-9</v>
      </c>
    </row>
    <row r="836" spans="10:11">
      <c r="J836" s="1">
        <v>834</v>
      </c>
      <c r="K836" s="1">
        <f t="shared" si="13"/>
        <v>4.5188878342909125E-9</v>
      </c>
    </row>
    <row r="837" spans="10:11">
      <c r="J837" s="1">
        <v>835</v>
      </c>
      <c r="K837" s="1">
        <f t="shared" si="13"/>
        <v>4.5272782827829312E-9</v>
      </c>
    </row>
    <row r="838" spans="10:11">
      <c r="J838" s="1">
        <v>836</v>
      </c>
      <c r="K838" s="1">
        <f t="shared" si="13"/>
        <v>4.5356758571284797E-9</v>
      </c>
    </row>
    <row r="839" spans="10:11">
      <c r="J839" s="1">
        <v>837</v>
      </c>
      <c r="K839" s="1">
        <f t="shared" si="13"/>
        <v>4.544080557327553E-9</v>
      </c>
    </row>
    <row r="840" spans="10:11">
      <c r="J840" s="1">
        <v>838</v>
      </c>
      <c r="K840" s="1">
        <f t="shared" si="13"/>
        <v>4.5524923833801538E-9</v>
      </c>
    </row>
    <row r="841" spans="10:11">
      <c r="J841" s="1">
        <v>839</v>
      </c>
      <c r="K841" s="1">
        <f t="shared" si="13"/>
        <v>4.5609113352862818E-9</v>
      </c>
    </row>
    <row r="842" spans="10:11">
      <c r="J842" s="1">
        <v>840</v>
      </c>
      <c r="K842" s="1">
        <f t="shared" si="13"/>
        <v>4.5693374130459372E-9</v>
      </c>
    </row>
    <row r="843" spans="10:11">
      <c r="J843" s="1">
        <v>841</v>
      </c>
      <c r="K843" s="1">
        <f t="shared" si="13"/>
        <v>4.5777706166591199E-9</v>
      </c>
    </row>
    <row r="844" spans="10:11">
      <c r="J844" s="1">
        <v>842</v>
      </c>
      <c r="K844" s="1">
        <f t="shared" si="13"/>
        <v>4.5862109461258292E-9</v>
      </c>
    </row>
    <row r="845" spans="10:11">
      <c r="J845" s="1">
        <v>843</v>
      </c>
      <c r="K845" s="1">
        <f t="shared" si="13"/>
        <v>4.5946584014460642E-9</v>
      </c>
    </row>
    <row r="846" spans="10:11">
      <c r="J846" s="1">
        <v>844</v>
      </c>
      <c r="K846" s="1">
        <f t="shared" si="13"/>
        <v>4.6031129826198289E-9</v>
      </c>
    </row>
    <row r="847" spans="10:11">
      <c r="J847" s="1">
        <v>845</v>
      </c>
      <c r="K847" s="1">
        <f t="shared" si="13"/>
        <v>4.6115746896471186E-9</v>
      </c>
    </row>
    <row r="848" spans="10:11">
      <c r="J848" s="1">
        <v>846</v>
      </c>
      <c r="K848" s="1">
        <f t="shared" si="13"/>
        <v>4.6200435225279372E-9</v>
      </c>
    </row>
    <row r="849" spans="10:11">
      <c r="J849" s="1">
        <v>847</v>
      </c>
      <c r="K849" s="1">
        <f t="shared" si="13"/>
        <v>4.6285194812622807E-9</v>
      </c>
    </row>
    <row r="850" spans="10:11">
      <c r="J850" s="1">
        <v>848</v>
      </c>
      <c r="K850" s="1">
        <f t="shared" si="13"/>
        <v>4.6370025658501524E-9</v>
      </c>
    </row>
    <row r="851" spans="10:11">
      <c r="J851" s="1">
        <v>849</v>
      </c>
      <c r="K851" s="1">
        <f t="shared" si="13"/>
        <v>4.6454927762915514E-9</v>
      </c>
    </row>
    <row r="852" spans="10:11">
      <c r="J852" s="1">
        <v>850</v>
      </c>
      <c r="K852" s="1">
        <f t="shared" si="13"/>
        <v>4.653990112586477E-9</v>
      </c>
    </row>
    <row r="853" spans="10:11">
      <c r="J853" s="1">
        <v>851</v>
      </c>
      <c r="K853" s="1">
        <f t="shared" si="13"/>
        <v>4.6624945747349299E-9</v>
      </c>
    </row>
    <row r="854" spans="10:11">
      <c r="J854" s="1">
        <v>852</v>
      </c>
      <c r="K854" s="1">
        <f t="shared" si="13"/>
        <v>4.6710061627369101E-9</v>
      </c>
    </row>
    <row r="855" spans="10:11">
      <c r="J855" s="1">
        <v>853</v>
      </c>
      <c r="K855" s="1">
        <f t="shared" si="13"/>
        <v>4.6795248765924169E-9</v>
      </c>
    </row>
    <row r="856" spans="10:11">
      <c r="J856" s="1">
        <v>854</v>
      </c>
      <c r="K856" s="1">
        <f t="shared" si="13"/>
        <v>4.6880507163014501E-9</v>
      </c>
    </row>
    <row r="857" spans="10:11">
      <c r="J857" s="1">
        <v>855</v>
      </c>
      <c r="K857" s="1">
        <f t="shared" si="13"/>
        <v>4.6965836818640116E-9</v>
      </c>
    </row>
    <row r="858" spans="10:11">
      <c r="J858" s="1">
        <v>856</v>
      </c>
      <c r="K858" s="1">
        <f t="shared" si="13"/>
        <v>4.7051237732800995E-9</v>
      </c>
    </row>
    <row r="859" spans="10:11">
      <c r="J859" s="1">
        <v>857</v>
      </c>
      <c r="K859" s="1">
        <f t="shared" si="13"/>
        <v>4.713670990549714E-9</v>
      </c>
    </row>
    <row r="860" spans="10:11">
      <c r="J860" s="1">
        <v>858</v>
      </c>
      <c r="K860" s="1">
        <f t="shared" si="13"/>
        <v>4.7222253336728559E-9</v>
      </c>
    </row>
    <row r="861" spans="10:11">
      <c r="J861" s="1">
        <v>859</v>
      </c>
      <c r="K861" s="1">
        <f t="shared" si="13"/>
        <v>4.730786802649525E-9</v>
      </c>
    </row>
    <row r="862" spans="10:11">
      <c r="J862" s="1">
        <v>860</v>
      </c>
      <c r="K862" s="1">
        <f t="shared" si="13"/>
        <v>4.7393553974797215E-9</v>
      </c>
    </row>
    <row r="863" spans="10:11">
      <c r="J863" s="1">
        <v>861</v>
      </c>
      <c r="K863" s="1">
        <f t="shared" si="13"/>
        <v>4.7479311181634438E-9</v>
      </c>
    </row>
    <row r="864" spans="10:11">
      <c r="J864" s="1">
        <v>862</v>
      </c>
      <c r="K864" s="1">
        <f t="shared" si="13"/>
        <v>4.7565139647006958E-9</v>
      </c>
    </row>
    <row r="865" spans="10:11">
      <c r="J865" s="1">
        <v>863</v>
      </c>
      <c r="K865" s="1">
        <f t="shared" si="13"/>
        <v>4.7651039370914727E-9</v>
      </c>
    </row>
    <row r="866" spans="10:11">
      <c r="J866" s="1">
        <v>864</v>
      </c>
      <c r="K866" s="1">
        <f t="shared" si="13"/>
        <v>4.7737010353357761E-9</v>
      </c>
    </row>
    <row r="867" spans="10:11">
      <c r="J867" s="1">
        <v>865</v>
      </c>
      <c r="K867" s="1">
        <f t="shared" si="13"/>
        <v>4.7823052594336077E-9</v>
      </c>
    </row>
    <row r="868" spans="10:11">
      <c r="J868" s="1">
        <v>866</v>
      </c>
      <c r="K868" s="1">
        <f t="shared" si="13"/>
        <v>4.7909166093849658E-9</v>
      </c>
    </row>
    <row r="869" spans="10:11">
      <c r="J869" s="1">
        <v>867</v>
      </c>
      <c r="K869" s="1">
        <f t="shared" si="13"/>
        <v>4.7995350851898529E-9</v>
      </c>
    </row>
    <row r="870" spans="10:11">
      <c r="J870" s="1">
        <v>868</v>
      </c>
      <c r="K870" s="1">
        <f t="shared" si="13"/>
        <v>4.8081606868482641E-9</v>
      </c>
    </row>
    <row r="871" spans="10:11">
      <c r="J871" s="1">
        <v>869</v>
      </c>
      <c r="K871" s="1">
        <f t="shared" si="13"/>
        <v>4.8167934143602042E-9</v>
      </c>
    </row>
    <row r="872" spans="10:11">
      <c r="J872" s="1">
        <v>870</v>
      </c>
      <c r="K872" s="1">
        <f t="shared" si="13"/>
        <v>4.8254332677256709E-9</v>
      </c>
    </row>
    <row r="873" spans="10:11">
      <c r="J873" s="1">
        <v>871</v>
      </c>
      <c r="K873" s="1">
        <f t="shared" si="13"/>
        <v>4.8340802469446649E-9</v>
      </c>
    </row>
    <row r="874" spans="10:11">
      <c r="J874" s="1">
        <v>872</v>
      </c>
      <c r="K874" s="1">
        <f t="shared" si="13"/>
        <v>4.8427343520171854E-9</v>
      </c>
    </row>
    <row r="875" spans="10:11">
      <c r="J875" s="1">
        <v>873</v>
      </c>
      <c r="K875" s="1">
        <f t="shared" si="13"/>
        <v>4.8513955829432333E-9</v>
      </c>
    </row>
    <row r="876" spans="10:11">
      <c r="J876" s="1">
        <v>874</v>
      </c>
      <c r="K876" s="1">
        <f t="shared" si="13"/>
        <v>4.8600639397228077E-9</v>
      </c>
    </row>
    <row r="877" spans="10:11">
      <c r="J877" s="1">
        <v>875</v>
      </c>
      <c r="K877" s="1">
        <f t="shared" si="13"/>
        <v>4.8687394223559102E-9</v>
      </c>
    </row>
    <row r="878" spans="10:11">
      <c r="J878" s="1">
        <v>876</v>
      </c>
      <c r="K878" s="1">
        <f t="shared" si="13"/>
        <v>4.8774220308425385E-9</v>
      </c>
    </row>
    <row r="879" spans="10:11">
      <c r="J879" s="1">
        <v>877</v>
      </c>
      <c r="K879" s="1">
        <f t="shared" si="13"/>
        <v>4.8861117651826949E-9</v>
      </c>
    </row>
    <row r="880" spans="10:11">
      <c r="J880" s="1">
        <v>878</v>
      </c>
      <c r="K880" s="1">
        <f t="shared" si="13"/>
        <v>4.8948086253763779E-9</v>
      </c>
    </row>
    <row r="881" spans="10:11">
      <c r="J881" s="1">
        <v>879</v>
      </c>
      <c r="K881" s="1">
        <f t="shared" si="13"/>
        <v>4.9035126114235882E-9</v>
      </c>
    </row>
    <row r="882" spans="10:11">
      <c r="J882" s="1">
        <v>880</v>
      </c>
      <c r="K882" s="1">
        <f t="shared" si="13"/>
        <v>4.912223723324325E-9</v>
      </c>
    </row>
    <row r="883" spans="10:11">
      <c r="J883" s="1">
        <v>881</v>
      </c>
      <c r="K883" s="1">
        <f t="shared" si="13"/>
        <v>4.9209419610785891E-9</v>
      </c>
    </row>
    <row r="884" spans="10:11">
      <c r="J884" s="1">
        <v>882</v>
      </c>
      <c r="K884" s="1">
        <f t="shared" si="13"/>
        <v>4.9296673246863815E-9</v>
      </c>
    </row>
    <row r="885" spans="10:11">
      <c r="J885" s="1">
        <v>883</v>
      </c>
      <c r="K885" s="1">
        <f t="shared" si="13"/>
        <v>4.9383998141476978E-9</v>
      </c>
    </row>
    <row r="886" spans="10:11">
      <c r="J886" s="1">
        <v>884</v>
      </c>
      <c r="K886" s="1">
        <f t="shared" si="13"/>
        <v>4.947139429462544E-9</v>
      </c>
    </row>
    <row r="887" spans="10:11">
      <c r="J887" s="1">
        <v>885</v>
      </c>
      <c r="K887" s="1">
        <f t="shared" si="13"/>
        <v>4.9558861706309167E-9</v>
      </c>
    </row>
    <row r="888" spans="10:11">
      <c r="J888" s="1">
        <v>886</v>
      </c>
      <c r="K888" s="1">
        <f t="shared" si="13"/>
        <v>4.964640037652816E-9</v>
      </c>
    </row>
    <row r="889" spans="10:11">
      <c r="J889" s="1">
        <v>887</v>
      </c>
      <c r="K889" s="1">
        <f t="shared" si="13"/>
        <v>4.9734010305282426E-9</v>
      </c>
    </row>
    <row r="890" spans="10:11">
      <c r="J890" s="1">
        <v>888</v>
      </c>
      <c r="K890" s="1">
        <f t="shared" si="13"/>
        <v>4.9821691492571956E-9</v>
      </c>
    </row>
    <row r="891" spans="10:11">
      <c r="J891" s="1">
        <v>889</v>
      </c>
      <c r="K891" s="1">
        <f t="shared" si="13"/>
        <v>4.9909443938396761E-9</v>
      </c>
    </row>
    <row r="892" spans="10:11">
      <c r="J892" s="1">
        <v>890</v>
      </c>
      <c r="K892" s="1">
        <f t="shared" si="13"/>
        <v>4.9997267642756847E-9</v>
      </c>
    </row>
    <row r="893" spans="10:11">
      <c r="J893" s="1">
        <v>891</v>
      </c>
      <c r="K893" s="1">
        <f t="shared" si="13"/>
        <v>5.008516260565219E-9</v>
      </c>
    </row>
    <row r="894" spans="10:11">
      <c r="J894" s="1">
        <v>892</v>
      </c>
      <c r="K894" s="1">
        <f t="shared" si="13"/>
        <v>5.0173128827082807E-9</v>
      </c>
    </row>
    <row r="895" spans="10:11">
      <c r="J895" s="1">
        <v>893</v>
      </c>
      <c r="K895" s="1">
        <f t="shared" si="13"/>
        <v>5.0261166307048696E-9</v>
      </c>
    </row>
    <row r="896" spans="10:11">
      <c r="J896" s="1">
        <v>894</v>
      </c>
      <c r="K896" s="1">
        <f t="shared" si="13"/>
        <v>5.0349275045549852E-9</v>
      </c>
    </row>
    <row r="897" spans="10:11">
      <c r="J897" s="1">
        <v>895</v>
      </c>
      <c r="K897" s="1">
        <f t="shared" si="13"/>
        <v>5.043745504258628E-9</v>
      </c>
    </row>
    <row r="898" spans="10:11">
      <c r="J898" s="1">
        <v>896</v>
      </c>
      <c r="K898" s="1">
        <f t="shared" si="13"/>
        <v>5.0525706298157982E-9</v>
      </c>
    </row>
    <row r="899" spans="10:11">
      <c r="J899" s="1">
        <v>897</v>
      </c>
      <c r="K899" s="1">
        <f t="shared" ref="K899:K962" si="14">B$5*B$6*SIN(B$1)*(B$7*(J899+1)+B$8*J899*(J899+1)/2000)/(B$3*1000*B$2)</f>
        <v>5.0614028812264949E-9</v>
      </c>
    </row>
    <row r="900" spans="10:11">
      <c r="J900" s="1">
        <v>898</v>
      </c>
      <c r="K900" s="1">
        <f t="shared" si="14"/>
        <v>5.0702422584907182E-9</v>
      </c>
    </row>
    <row r="901" spans="10:11">
      <c r="J901" s="1">
        <v>899</v>
      </c>
      <c r="K901" s="1">
        <f t="shared" si="14"/>
        <v>5.0790887616084704E-9</v>
      </c>
    </row>
    <row r="902" spans="10:11">
      <c r="J902" s="1">
        <v>900</v>
      </c>
      <c r="K902" s="1">
        <f t="shared" si="14"/>
        <v>5.0879423905797475E-9</v>
      </c>
    </row>
    <row r="903" spans="10:11">
      <c r="J903" s="1">
        <v>901</v>
      </c>
      <c r="K903" s="1">
        <f t="shared" si="14"/>
        <v>5.0968031454045536E-9</v>
      </c>
    </row>
    <row r="904" spans="10:11">
      <c r="J904" s="1">
        <v>902</v>
      </c>
      <c r="K904" s="1">
        <f t="shared" si="14"/>
        <v>5.1056710260828854E-9</v>
      </c>
    </row>
    <row r="905" spans="10:11">
      <c r="J905" s="1">
        <v>903</v>
      </c>
      <c r="K905" s="1">
        <f t="shared" si="14"/>
        <v>5.1145460326147446E-9</v>
      </c>
    </row>
    <row r="906" spans="10:11">
      <c r="J906" s="1">
        <v>904</v>
      </c>
      <c r="K906" s="1">
        <f t="shared" si="14"/>
        <v>5.1234281650001311E-9</v>
      </c>
    </row>
    <row r="907" spans="10:11">
      <c r="J907" s="1">
        <v>905</v>
      </c>
      <c r="K907" s="1">
        <f t="shared" si="14"/>
        <v>5.1323174232390441E-9</v>
      </c>
    </row>
    <row r="908" spans="10:11">
      <c r="J908" s="1">
        <v>906</v>
      </c>
      <c r="K908" s="1">
        <f t="shared" si="14"/>
        <v>5.1412138073314844E-9</v>
      </c>
    </row>
    <row r="909" spans="10:11">
      <c r="J909" s="1">
        <v>907</v>
      </c>
      <c r="K909" s="1">
        <f t="shared" si="14"/>
        <v>5.1501173172774521E-9</v>
      </c>
    </row>
    <row r="910" spans="10:11">
      <c r="J910" s="1">
        <v>908</v>
      </c>
      <c r="K910" s="1">
        <f t="shared" si="14"/>
        <v>5.1590279530769463E-9</v>
      </c>
    </row>
    <row r="911" spans="10:11">
      <c r="J911" s="1">
        <v>909</v>
      </c>
      <c r="K911" s="1">
        <f t="shared" si="14"/>
        <v>5.1679457147299687E-9</v>
      </c>
    </row>
    <row r="912" spans="10:11">
      <c r="J912" s="1">
        <v>910</v>
      </c>
      <c r="K912" s="1">
        <f t="shared" si="14"/>
        <v>5.1768706022365168E-9</v>
      </c>
    </row>
    <row r="913" spans="10:11">
      <c r="J913" s="1">
        <v>911</v>
      </c>
      <c r="K913" s="1">
        <f t="shared" si="14"/>
        <v>5.1858026155965922E-9</v>
      </c>
    </row>
    <row r="914" spans="10:11">
      <c r="J914" s="1">
        <v>912</v>
      </c>
      <c r="K914" s="1">
        <f t="shared" si="14"/>
        <v>5.1947417548101958E-9</v>
      </c>
    </row>
    <row r="915" spans="10:11">
      <c r="J915" s="1">
        <v>913</v>
      </c>
      <c r="K915" s="1">
        <f t="shared" si="14"/>
        <v>5.2036880198773251E-9</v>
      </c>
    </row>
    <row r="916" spans="10:11">
      <c r="J916" s="1">
        <v>914</v>
      </c>
      <c r="K916" s="1">
        <f t="shared" si="14"/>
        <v>5.2126414107979817E-9</v>
      </c>
    </row>
    <row r="917" spans="10:11">
      <c r="J917" s="1">
        <v>915</v>
      </c>
      <c r="K917" s="1">
        <f t="shared" si="14"/>
        <v>5.2216019275721649E-9</v>
      </c>
    </row>
    <row r="918" spans="10:11">
      <c r="J918" s="1">
        <v>916</v>
      </c>
      <c r="K918" s="1">
        <f t="shared" si="14"/>
        <v>5.230569570199877E-9</v>
      </c>
    </row>
    <row r="919" spans="10:11">
      <c r="J919" s="1">
        <v>917</v>
      </c>
      <c r="K919" s="1">
        <f t="shared" si="14"/>
        <v>5.2395443386811132E-9</v>
      </c>
    </row>
    <row r="920" spans="10:11">
      <c r="J920" s="1">
        <v>918</v>
      </c>
      <c r="K920" s="1">
        <f t="shared" si="14"/>
        <v>5.2485262330158792E-9</v>
      </c>
    </row>
    <row r="921" spans="10:11">
      <c r="J921" s="1">
        <v>919</v>
      </c>
      <c r="K921" s="1">
        <f t="shared" si="14"/>
        <v>5.2575152532041718E-9</v>
      </c>
    </row>
    <row r="922" spans="10:11">
      <c r="J922" s="1">
        <v>920</v>
      </c>
      <c r="K922" s="1">
        <f t="shared" si="14"/>
        <v>5.26651139924599E-9</v>
      </c>
    </row>
    <row r="923" spans="10:11">
      <c r="J923" s="1">
        <v>921</v>
      </c>
      <c r="K923" s="1">
        <f t="shared" si="14"/>
        <v>5.2755146711413372E-9</v>
      </c>
    </row>
    <row r="924" spans="10:11">
      <c r="J924" s="1">
        <v>922</v>
      </c>
      <c r="K924" s="1">
        <f t="shared" si="14"/>
        <v>5.2845250688902093E-9</v>
      </c>
    </row>
    <row r="925" spans="10:11">
      <c r="J925" s="1">
        <v>923</v>
      </c>
      <c r="K925" s="1">
        <f t="shared" si="14"/>
        <v>5.2935425924926088E-9</v>
      </c>
    </row>
    <row r="926" spans="10:11">
      <c r="J926" s="1">
        <v>924</v>
      </c>
      <c r="K926" s="1">
        <f t="shared" si="14"/>
        <v>5.302567241948538E-9</v>
      </c>
    </row>
    <row r="927" spans="10:11">
      <c r="J927" s="1">
        <v>925</v>
      </c>
      <c r="K927" s="1">
        <f t="shared" si="14"/>
        <v>5.3115990172579905E-9</v>
      </c>
    </row>
    <row r="928" spans="10:11">
      <c r="J928" s="1">
        <v>926</v>
      </c>
      <c r="K928" s="1">
        <f t="shared" si="14"/>
        <v>5.3206379184209728E-9</v>
      </c>
    </row>
    <row r="929" spans="10:11">
      <c r="J929" s="1">
        <v>927</v>
      </c>
      <c r="K929" s="1">
        <f t="shared" si="14"/>
        <v>5.3296839454374816E-9</v>
      </c>
    </row>
    <row r="930" spans="10:11">
      <c r="J930" s="1">
        <v>928</v>
      </c>
      <c r="K930" s="1">
        <f t="shared" si="14"/>
        <v>5.3387370983075169E-9</v>
      </c>
    </row>
    <row r="931" spans="10:11">
      <c r="J931" s="1">
        <v>929</v>
      </c>
      <c r="K931" s="1">
        <f t="shared" si="14"/>
        <v>5.3477973770310788E-9</v>
      </c>
    </row>
    <row r="932" spans="10:11">
      <c r="J932" s="1">
        <v>930</v>
      </c>
      <c r="K932" s="1">
        <f t="shared" si="14"/>
        <v>5.3568647816081696E-9</v>
      </c>
    </row>
    <row r="933" spans="10:11">
      <c r="J933" s="1">
        <v>931</v>
      </c>
      <c r="K933" s="1">
        <f t="shared" si="14"/>
        <v>5.3659393120387862E-9</v>
      </c>
    </row>
    <row r="934" spans="10:11">
      <c r="J934" s="1">
        <v>932</v>
      </c>
      <c r="K934" s="1">
        <f t="shared" si="14"/>
        <v>5.3750209683229284E-9</v>
      </c>
    </row>
    <row r="935" spans="10:11">
      <c r="J935" s="1">
        <v>933</v>
      </c>
      <c r="K935" s="1">
        <f t="shared" si="14"/>
        <v>5.3841097504605997E-9</v>
      </c>
    </row>
    <row r="936" spans="10:11">
      <c r="J936" s="1">
        <v>934</v>
      </c>
      <c r="K936" s="1">
        <f t="shared" si="14"/>
        <v>5.3932056584517974E-9</v>
      </c>
    </row>
    <row r="937" spans="10:11">
      <c r="J937" s="1">
        <v>935</v>
      </c>
      <c r="K937" s="1">
        <f t="shared" si="14"/>
        <v>5.4023086922965217E-9</v>
      </c>
    </row>
    <row r="938" spans="10:11">
      <c r="J938" s="1">
        <v>936</v>
      </c>
      <c r="K938" s="1">
        <f t="shared" si="14"/>
        <v>5.411418851994775E-9</v>
      </c>
    </row>
    <row r="939" spans="10:11">
      <c r="J939" s="1">
        <v>937</v>
      </c>
      <c r="K939" s="1">
        <f t="shared" si="14"/>
        <v>5.4205361375465531E-9</v>
      </c>
    </row>
    <row r="940" spans="10:11">
      <c r="J940" s="1">
        <v>938</v>
      </c>
      <c r="K940" s="1">
        <f t="shared" si="14"/>
        <v>5.4296605489518586E-9</v>
      </c>
    </row>
    <row r="941" spans="10:11">
      <c r="J941" s="1">
        <v>939</v>
      </c>
      <c r="K941" s="1">
        <f t="shared" si="14"/>
        <v>5.4387920862106922E-9</v>
      </c>
    </row>
    <row r="942" spans="10:11">
      <c r="J942" s="1">
        <v>940</v>
      </c>
      <c r="K942" s="1">
        <f t="shared" si="14"/>
        <v>5.4479307493230516E-9</v>
      </c>
    </row>
    <row r="943" spans="10:11">
      <c r="J943" s="1">
        <v>941</v>
      </c>
      <c r="K943" s="1">
        <f t="shared" si="14"/>
        <v>5.4570765382889391E-9</v>
      </c>
    </row>
    <row r="944" spans="10:11">
      <c r="J944" s="1">
        <v>942</v>
      </c>
      <c r="K944" s="1">
        <f t="shared" si="14"/>
        <v>5.4662294531083531E-9</v>
      </c>
    </row>
    <row r="945" spans="10:11">
      <c r="J945" s="1">
        <v>943</v>
      </c>
      <c r="K945" s="1">
        <f t="shared" si="14"/>
        <v>5.4753894937812937E-9</v>
      </c>
    </row>
    <row r="946" spans="10:11">
      <c r="J946" s="1">
        <v>944</v>
      </c>
      <c r="K946" s="1">
        <f t="shared" si="14"/>
        <v>5.4845566603077632E-9</v>
      </c>
    </row>
    <row r="947" spans="10:11">
      <c r="J947" s="1">
        <v>945</v>
      </c>
      <c r="K947" s="1">
        <f t="shared" si="14"/>
        <v>5.4937309526877585E-9</v>
      </c>
    </row>
    <row r="948" spans="10:11">
      <c r="J948" s="1">
        <v>946</v>
      </c>
      <c r="K948" s="1">
        <f t="shared" si="14"/>
        <v>5.5029123709212811E-9</v>
      </c>
    </row>
    <row r="949" spans="10:11">
      <c r="J949" s="1">
        <v>947</v>
      </c>
      <c r="K949" s="1">
        <f t="shared" si="14"/>
        <v>5.5121009150083302E-9</v>
      </c>
    </row>
    <row r="950" spans="10:11">
      <c r="J950" s="1">
        <v>948</v>
      </c>
      <c r="K950" s="1">
        <f t="shared" si="14"/>
        <v>5.521296584948905E-9</v>
      </c>
    </row>
    <row r="951" spans="10:11">
      <c r="J951" s="1">
        <v>949</v>
      </c>
      <c r="K951" s="1">
        <f t="shared" si="14"/>
        <v>5.5304993807430088E-9</v>
      </c>
    </row>
    <row r="952" spans="10:11">
      <c r="J952" s="1">
        <v>950</v>
      </c>
      <c r="K952" s="1">
        <f t="shared" si="14"/>
        <v>5.5397093023906408E-9</v>
      </c>
    </row>
    <row r="953" spans="10:11">
      <c r="J953" s="1">
        <v>951</v>
      </c>
      <c r="K953" s="1">
        <f t="shared" si="14"/>
        <v>5.5489263498917984E-9</v>
      </c>
    </row>
    <row r="954" spans="10:11">
      <c r="J954" s="1">
        <v>952</v>
      </c>
      <c r="K954" s="1">
        <f t="shared" si="14"/>
        <v>5.5581505232464818E-9</v>
      </c>
    </row>
    <row r="955" spans="10:11">
      <c r="J955" s="1">
        <v>953</v>
      </c>
      <c r="K955" s="1">
        <f t="shared" si="14"/>
        <v>5.5673818224546941E-9</v>
      </c>
    </row>
    <row r="956" spans="10:11">
      <c r="J956" s="1">
        <v>954</v>
      </c>
      <c r="K956" s="1">
        <f t="shared" si="14"/>
        <v>5.576620247516433E-9</v>
      </c>
    </row>
    <row r="957" spans="10:11">
      <c r="J957" s="1">
        <v>955</v>
      </c>
      <c r="K957" s="1">
        <f t="shared" si="14"/>
        <v>5.5858657984316992E-9</v>
      </c>
    </row>
    <row r="958" spans="10:11">
      <c r="J958" s="1">
        <v>956</v>
      </c>
      <c r="K958" s="1">
        <f t="shared" si="14"/>
        <v>5.595118475200492E-9</v>
      </c>
    </row>
    <row r="959" spans="10:11">
      <c r="J959" s="1">
        <v>957</v>
      </c>
      <c r="K959" s="1">
        <f t="shared" si="14"/>
        <v>5.6043782778228112E-9</v>
      </c>
    </row>
    <row r="960" spans="10:11">
      <c r="J960" s="1">
        <v>958</v>
      </c>
      <c r="K960" s="1">
        <f t="shared" si="14"/>
        <v>5.6136452062986578E-9</v>
      </c>
    </row>
    <row r="961" spans="10:11">
      <c r="J961" s="1">
        <v>959</v>
      </c>
      <c r="K961" s="1">
        <f t="shared" si="14"/>
        <v>5.6229192606280318E-9</v>
      </c>
    </row>
    <row r="962" spans="10:11">
      <c r="J962" s="1">
        <v>960</v>
      </c>
      <c r="K962" s="1">
        <f t="shared" si="14"/>
        <v>5.6322004408109339E-9</v>
      </c>
    </row>
    <row r="963" spans="10:11">
      <c r="J963" s="1">
        <v>961</v>
      </c>
      <c r="K963" s="1">
        <f t="shared" ref="K963:K1001" si="15">B$5*B$6*SIN(B$1)*(B$7*(J963+1)+B$8*J963*(J963+1)/2000)/(B$3*1000*B$2)</f>
        <v>5.6414887468473609E-9</v>
      </c>
    </row>
    <row r="964" spans="10:11">
      <c r="J964" s="1">
        <v>962</v>
      </c>
      <c r="K964" s="1">
        <f t="shared" si="15"/>
        <v>5.6507841787373169E-9</v>
      </c>
    </row>
    <row r="965" spans="10:11">
      <c r="J965" s="1">
        <v>963</v>
      </c>
      <c r="K965" s="1">
        <f t="shared" si="15"/>
        <v>5.6600867364807985E-9</v>
      </c>
    </row>
    <row r="966" spans="10:11">
      <c r="J966" s="1">
        <v>964</v>
      </c>
      <c r="K966" s="1">
        <f t="shared" si="15"/>
        <v>5.6693964200778084E-9</v>
      </c>
    </row>
    <row r="967" spans="10:11">
      <c r="J967" s="1">
        <v>965</v>
      </c>
      <c r="K967" s="1">
        <f t="shared" si="15"/>
        <v>5.6787132295283439E-9</v>
      </c>
    </row>
    <row r="968" spans="10:11">
      <c r="J968" s="1">
        <v>966</v>
      </c>
      <c r="K968" s="1">
        <f t="shared" si="15"/>
        <v>5.6880371648324076E-9</v>
      </c>
    </row>
    <row r="969" spans="10:11">
      <c r="J969" s="1">
        <v>967</v>
      </c>
      <c r="K969" s="1">
        <f t="shared" si="15"/>
        <v>5.6973682259899979E-9</v>
      </c>
    </row>
    <row r="970" spans="10:11">
      <c r="J970" s="1">
        <v>968</v>
      </c>
      <c r="K970" s="1">
        <f t="shared" si="15"/>
        <v>5.7067064130011155E-9</v>
      </c>
    </row>
    <row r="971" spans="10:11">
      <c r="J971" s="1">
        <v>969</v>
      </c>
      <c r="K971" s="1">
        <f t="shared" si="15"/>
        <v>5.7160517258657595E-9</v>
      </c>
    </row>
    <row r="972" spans="10:11">
      <c r="J972" s="1">
        <v>970</v>
      </c>
      <c r="K972" s="1">
        <f t="shared" si="15"/>
        <v>5.725404164583931E-9</v>
      </c>
    </row>
    <row r="973" spans="10:11">
      <c r="J973" s="1">
        <v>971</v>
      </c>
      <c r="K973" s="1">
        <f t="shared" si="15"/>
        <v>5.7347637291556298E-9</v>
      </c>
    </row>
    <row r="974" spans="10:11">
      <c r="J974" s="1">
        <v>972</v>
      </c>
      <c r="K974" s="1">
        <f t="shared" si="15"/>
        <v>5.7441304195808559E-9</v>
      </c>
    </row>
    <row r="975" spans="10:11">
      <c r="J975" s="1">
        <v>973</v>
      </c>
      <c r="K975" s="1">
        <f t="shared" si="15"/>
        <v>5.7535042358596077E-9</v>
      </c>
    </row>
    <row r="976" spans="10:11">
      <c r="J976" s="1">
        <v>974</v>
      </c>
      <c r="K976" s="1">
        <f t="shared" si="15"/>
        <v>5.7628851779918877E-9</v>
      </c>
    </row>
    <row r="977" spans="10:11">
      <c r="J977" s="1">
        <v>975</v>
      </c>
      <c r="K977" s="1">
        <f t="shared" si="15"/>
        <v>5.7722732459776942E-9</v>
      </c>
    </row>
    <row r="978" spans="10:11">
      <c r="J978" s="1">
        <v>976</v>
      </c>
      <c r="K978" s="1">
        <f t="shared" si="15"/>
        <v>5.7816684398170281E-9</v>
      </c>
    </row>
    <row r="979" spans="10:11">
      <c r="J979" s="1">
        <v>977</v>
      </c>
      <c r="K979" s="1">
        <f t="shared" si="15"/>
        <v>5.7910707595098893E-9</v>
      </c>
    </row>
    <row r="980" spans="10:11">
      <c r="J980" s="1">
        <v>978</v>
      </c>
      <c r="K980" s="1">
        <f t="shared" si="15"/>
        <v>5.800480205056277E-9</v>
      </c>
    </row>
    <row r="981" spans="10:11">
      <c r="J981" s="1">
        <v>979</v>
      </c>
      <c r="K981" s="1">
        <f t="shared" si="15"/>
        <v>5.8098967764561913E-9</v>
      </c>
    </row>
    <row r="982" spans="10:11">
      <c r="J982" s="1">
        <v>980</v>
      </c>
      <c r="K982" s="1">
        <f t="shared" si="15"/>
        <v>5.8193204737096337E-9</v>
      </c>
    </row>
    <row r="983" spans="10:11">
      <c r="J983" s="1">
        <v>981</v>
      </c>
      <c r="K983" s="1">
        <f t="shared" si="15"/>
        <v>5.8287512968166034E-9</v>
      </c>
    </row>
    <row r="984" spans="10:11">
      <c r="J984" s="1">
        <v>982</v>
      </c>
      <c r="K984" s="1">
        <f t="shared" si="15"/>
        <v>5.8381892457770989E-9</v>
      </c>
    </row>
    <row r="985" spans="10:11">
      <c r="J985" s="1">
        <v>983</v>
      </c>
      <c r="K985" s="1">
        <f t="shared" si="15"/>
        <v>5.8476343205911217E-9</v>
      </c>
    </row>
    <row r="986" spans="10:11">
      <c r="J986" s="1">
        <v>984</v>
      </c>
      <c r="K986" s="1">
        <f t="shared" si="15"/>
        <v>5.8570865212586735E-9</v>
      </c>
    </row>
    <row r="987" spans="10:11">
      <c r="J987" s="1">
        <v>985</v>
      </c>
      <c r="K987" s="1">
        <f t="shared" si="15"/>
        <v>5.8665458477797493E-9</v>
      </c>
    </row>
    <row r="988" spans="10:11">
      <c r="J988" s="1">
        <v>986</v>
      </c>
      <c r="K988" s="1">
        <f t="shared" si="15"/>
        <v>5.8760123001543541E-9</v>
      </c>
    </row>
    <row r="989" spans="10:11">
      <c r="J989" s="1">
        <v>987</v>
      </c>
      <c r="K989" s="1">
        <f t="shared" si="15"/>
        <v>5.8854858783824847E-9</v>
      </c>
    </row>
    <row r="990" spans="10:11">
      <c r="J990" s="1">
        <v>988</v>
      </c>
      <c r="K990" s="1">
        <f t="shared" si="15"/>
        <v>5.8949665824641434E-9</v>
      </c>
    </row>
    <row r="991" spans="10:11">
      <c r="J991" s="1">
        <v>989</v>
      </c>
      <c r="K991" s="1">
        <f t="shared" si="15"/>
        <v>5.9044544123993286E-9</v>
      </c>
    </row>
    <row r="992" spans="10:11">
      <c r="J992" s="1">
        <v>990</v>
      </c>
      <c r="K992" s="1">
        <f t="shared" si="15"/>
        <v>5.9139493681880411E-9</v>
      </c>
    </row>
    <row r="993" spans="10:11">
      <c r="J993" s="1">
        <v>991</v>
      </c>
      <c r="K993" s="1">
        <f t="shared" si="15"/>
        <v>5.9234514498302819E-9</v>
      </c>
    </row>
    <row r="994" spans="10:11">
      <c r="J994" s="1">
        <v>992</v>
      </c>
      <c r="K994" s="1">
        <f t="shared" si="15"/>
        <v>5.9329606573260483E-9</v>
      </c>
    </row>
    <row r="995" spans="10:11">
      <c r="J995" s="1">
        <v>993</v>
      </c>
      <c r="K995" s="1">
        <f t="shared" si="15"/>
        <v>5.9424769906753412E-9</v>
      </c>
    </row>
    <row r="996" spans="10:11">
      <c r="J996" s="1">
        <v>994</v>
      </c>
      <c r="K996" s="1">
        <f t="shared" si="15"/>
        <v>5.9520004498781615E-9</v>
      </c>
    </row>
    <row r="997" spans="10:11">
      <c r="J997" s="1">
        <v>995</v>
      </c>
      <c r="K997" s="1">
        <f t="shared" si="15"/>
        <v>5.9615310349345092E-9</v>
      </c>
    </row>
    <row r="998" spans="10:11">
      <c r="J998" s="1">
        <v>996</v>
      </c>
      <c r="K998" s="1">
        <f t="shared" si="15"/>
        <v>5.971068745844385E-9</v>
      </c>
    </row>
    <row r="999" spans="10:11">
      <c r="J999" s="1">
        <v>997</v>
      </c>
      <c r="K999" s="1">
        <f t="shared" si="15"/>
        <v>5.9806135826077856E-9</v>
      </c>
    </row>
    <row r="1000" spans="10:11">
      <c r="J1000" s="1">
        <v>998</v>
      </c>
      <c r="K1000" s="1">
        <f t="shared" si="15"/>
        <v>5.9901655452247153E-9</v>
      </c>
    </row>
    <row r="1001" spans="10:11">
      <c r="J1001" s="1">
        <v>999</v>
      </c>
      <c r="K1001" s="1">
        <f t="shared" si="15"/>
        <v>5.9997246336951707E-9</v>
      </c>
    </row>
  </sheetData>
  <phoneticPr fontId="5"/>
  <pageMargins left="0.7" right="0.7" top="0.75" bottom="0.75" header="0.3" footer="0.3"/>
  <pageSetup paperSize="9" orientation="landscape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5011-631C-4A3B-8692-9341B6E32067}">
  <sheetPr codeName="Sheet3"/>
  <dimension ref="A1:I13"/>
  <sheetViews>
    <sheetView tabSelected="1" workbookViewId="0">
      <selection activeCell="L5" sqref="L5"/>
    </sheetView>
  </sheetViews>
  <sheetFormatPr defaultColWidth="15.625" defaultRowHeight="28.5" customHeight="1"/>
  <cols>
    <col min="1" max="1" width="15.625" style="6"/>
    <col min="2" max="2" width="15.625" style="7"/>
    <col min="3" max="16384" width="15.625" style="6"/>
  </cols>
  <sheetData>
    <row r="1" spans="1:9" ht="28.5" customHeight="1">
      <c r="A1" s="8" t="s">
        <v>14</v>
      </c>
      <c r="B1" s="9"/>
      <c r="C1" s="10"/>
      <c r="D1" s="18" t="s">
        <v>62</v>
      </c>
      <c r="E1" s="19"/>
      <c r="F1" s="19"/>
      <c r="G1" s="18" t="s">
        <v>22</v>
      </c>
      <c r="H1" s="19"/>
      <c r="I1" s="20"/>
    </row>
    <row r="2" spans="1:9" ht="28.5" customHeight="1">
      <c r="A2" s="11" t="s">
        <v>1</v>
      </c>
      <c r="B2" s="12">
        <v>9.8000000000000007</v>
      </c>
      <c r="C2" s="13" t="s">
        <v>73</v>
      </c>
      <c r="D2" s="21" t="s">
        <v>0</v>
      </c>
      <c r="E2" s="22">
        <v>1.8900000000000001E-4</v>
      </c>
      <c r="F2" s="24" t="s">
        <v>21</v>
      </c>
      <c r="G2" s="21"/>
      <c r="H2" s="24" t="s">
        <v>4</v>
      </c>
      <c r="I2" s="23" t="s">
        <v>5</v>
      </c>
    </row>
    <row r="3" spans="1:9" ht="28.5" customHeight="1">
      <c r="A3" s="11" t="s">
        <v>2</v>
      </c>
      <c r="B3" s="14">
        <v>6.6259999999999998E-34</v>
      </c>
      <c r="C3" s="13" t="s">
        <v>72</v>
      </c>
      <c r="D3" s="21" t="s">
        <v>25</v>
      </c>
      <c r="E3" s="24">
        <v>0.5</v>
      </c>
      <c r="F3" s="24"/>
      <c r="G3" s="21" t="s">
        <v>6</v>
      </c>
      <c r="H3" s="28">
        <v>58.69</v>
      </c>
      <c r="I3" s="29">
        <v>47.87</v>
      </c>
    </row>
    <row r="4" spans="1:9" ht="28.5" customHeight="1">
      <c r="A4" s="11" t="s">
        <v>10</v>
      </c>
      <c r="B4" s="14">
        <v>6.02E+23</v>
      </c>
      <c r="C4" s="13" t="s">
        <v>71</v>
      </c>
      <c r="D4" s="21" t="s">
        <v>36</v>
      </c>
      <c r="E4" s="22">
        <v>0.15</v>
      </c>
      <c r="F4" s="24"/>
      <c r="G4" s="21" t="s">
        <v>7</v>
      </c>
      <c r="H4" s="28">
        <v>8.9079999999999995</v>
      </c>
      <c r="I4" s="29">
        <v>4.5060000000000002</v>
      </c>
    </row>
    <row r="5" spans="1:9" ht="28.5" customHeight="1">
      <c r="A5" s="11" t="s">
        <v>3</v>
      </c>
      <c r="B5" s="14">
        <v>1.6700000000000002E-27</v>
      </c>
      <c r="C5" s="13" t="s">
        <v>70</v>
      </c>
      <c r="D5" s="21" t="s">
        <v>63</v>
      </c>
      <c r="E5" s="22">
        <v>1.7999999999999999E-2</v>
      </c>
      <c r="F5" s="24"/>
      <c r="G5" s="21" t="s">
        <v>8</v>
      </c>
      <c r="H5" s="28">
        <v>76</v>
      </c>
      <c r="I5" s="29">
        <v>44</v>
      </c>
    </row>
    <row r="6" spans="1:9" ht="28.5" customHeight="1" thickBot="1">
      <c r="A6" s="11" t="s">
        <v>19</v>
      </c>
      <c r="B6" s="14">
        <v>8.7500000000000002E-16</v>
      </c>
      <c r="C6" s="13" t="s">
        <v>69</v>
      </c>
      <c r="D6" s="25" t="s">
        <v>61</v>
      </c>
      <c r="E6" s="26">
        <v>3E-10</v>
      </c>
      <c r="F6" s="27"/>
      <c r="G6" s="21" t="s">
        <v>9</v>
      </c>
      <c r="H6" s="28">
        <v>180</v>
      </c>
      <c r="I6" s="29">
        <v>110</v>
      </c>
    </row>
    <row r="7" spans="1:9" ht="28.5" customHeight="1" thickBot="1">
      <c r="A7" s="15" t="s">
        <v>30</v>
      </c>
      <c r="B7" s="16">
        <v>1.602E-19</v>
      </c>
      <c r="C7" s="17" t="s">
        <v>68</v>
      </c>
      <c r="G7" s="21"/>
      <c r="H7" s="24"/>
      <c r="I7" s="23"/>
    </row>
    <row r="8" spans="1:9" ht="28.5" customHeight="1">
      <c r="A8" s="2"/>
      <c r="B8" s="2"/>
      <c r="C8" s="2"/>
      <c r="G8" s="21" t="s">
        <v>27</v>
      </c>
      <c r="H8" s="22">
        <v>3.4003954223998741E-15</v>
      </c>
      <c r="I8" s="30">
        <v>3.1770876436980546E-15</v>
      </c>
    </row>
    <row r="9" spans="1:9" ht="28.5" customHeight="1" thickBot="1">
      <c r="A9" s="2"/>
      <c r="B9" s="4"/>
      <c r="C9" s="2"/>
      <c r="G9" s="25" t="s">
        <v>28</v>
      </c>
      <c r="H9" s="26">
        <v>9.1371886181632288E+28</v>
      </c>
      <c r="I9" s="31">
        <v>5.6666221015249633E+28</v>
      </c>
    </row>
    <row r="10" spans="1:9" ht="28.5" customHeight="1">
      <c r="A10" s="2"/>
      <c r="B10" s="2"/>
      <c r="C10" s="2"/>
    </row>
    <row r="11" spans="1:9" ht="28.5" customHeight="1">
      <c r="A11" s="2"/>
      <c r="B11" s="4"/>
      <c r="C11" s="2"/>
    </row>
    <row r="12" spans="1:9" ht="28.5" customHeight="1">
      <c r="A12" s="2"/>
      <c r="B12" s="4"/>
      <c r="C12" s="2"/>
    </row>
    <row r="13" spans="1:9" ht="28.5" customHeight="1">
      <c r="A13" s="2"/>
      <c r="B13" s="4"/>
      <c r="C1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位相差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位相概算各種数値</vt:lpstr>
      <vt:lpstr>構造計算</vt:lpstr>
      <vt:lpstr>位相差計算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齊藤 巧磨</dc:creator>
  <cp:lastModifiedBy>kuc20200996</cp:lastModifiedBy>
  <dcterms:created xsi:type="dcterms:W3CDTF">2023-10-19T18:37:41Z</dcterms:created>
  <dcterms:modified xsi:type="dcterms:W3CDTF">2023-11-10T04:17:12Z</dcterms:modified>
</cp:coreProperties>
</file>